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ugus\Desktop\"/>
    </mc:Choice>
  </mc:AlternateContent>
  <bookViews>
    <workbookView xWindow="0" yWindow="0" windowWidth="24000" windowHeight="9630"/>
  </bookViews>
  <sheets>
    <sheet name="1 simulacion" sheetId="1" r:id="rId1"/>
    <sheet name="100 simulaciones" sheetId="2" r:id="rId2"/>
  </sheets>
  <calcPr calcId="162913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" i="2" l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C9" i="2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B9" i="2"/>
  <c r="B10" i="2" s="1"/>
  <c r="A9" i="2"/>
  <c r="D8" i="2"/>
  <c r="B11" i="2" l="1"/>
  <c r="E10" i="2"/>
  <c r="D10" i="2"/>
  <c r="D9" i="2"/>
  <c r="F9" i="2" s="1"/>
  <c r="E9" i="2"/>
  <c r="G9" i="2" s="1"/>
  <c r="A10" i="2"/>
  <c r="C9" i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B9" i="1"/>
  <c r="B10" i="1" s="1"/>
  <c r="A9" i="1"/>
  <c r="A10" i="1" s="1"/>
  <c r="A11" i="1" l="1"/>
  <c r="B11" i="1"/>
  <c r="E10" i="1"/>
  <c r="G10" i="1" s="1"/>
  <c r="D10" i="1"/>
  <c r="F10" i="1" s="1"/>
  <c r="F10" i="2"/>
  <c r="A11" i="2"/>
  <c r="G10" i="2"/>
  <c r="D9" i="1"/>
  <c r="F9" i="1" s="1"/>
  <c r="E9" i="1"/>
  <c r="G9" i="1" s="1"/>
  <c r="B12" i="2"/>
  <c r="E11" i="2"/>
  <c r="D11" i="2"/>
  <c r="A12" i="1" l="1"/>
  <c r="D11" i="1"/>
  <c r="F11" i="1" s="1"/>
  <c r="B12" i="1"/>
  <c r="E11" i="1"/>
  <c r="G11" i="1" s="1"/>
  <c r="B13" i="2"/>
  <c r="E12" i="2"/>
  <c r="D12" i="2"/>
  <c r="F11" i="2"/>
  <c r="A12" i="2"/>
  <c r="G11" i="2"/>
  <c r="F12" i="2" l="1"/>
  <c r="A13" i="2"/>
  <c r="G12" i="2"/>
  <c r="B14" i="2"/>
  <c r="E13" i="2"/>
  <c r="D13" i="2"/>
  <c r="A13" i="1"/>
  <c r="D12" i="1"/>
  <c r="F12" i="1" s="1"/>
  <c r="E12" i="1"/>
  <c r="G12" i="1" s="1"/>
  <c r="B13" i="1"/>
  <c r="F13" i="2" l="1"/>
  <c r="A14" i="2"/>
  <c r="G13" i="2"/>
  <c r="A14" i="1"/>
  <c r="B14" i="1"/>
  <c r="E13" i="1"/>
  <c r="G13" i="1" s="1"/>
  <c r="D13" i="1"/>
  <c r="F13" i="1" s="1"/>
  <c r="B15" i="2"/>
  <c r="E14" i="2"/>
  <c r="D14" i="2"/>
  <c r="B16" i="2" l="1"/>
  <c r="E15" i="2"/>
  <c r="D15" i="2"/>
  <c r="F14" i="2"/>
  <c r="A15" i="2"/>
  <c r="G14" i="2"/>
  <c r="B15" i="1"/>
  <c r="E14" i="1"/>
  <c r="G14" i="1" s="1"/>
  <c r="D14" i="1"/>
  <c r="F14" i="1" s="1"/>
  <c r="A15" i="1"/>
  <c r="A16" i="1" l="1"/>
  <c r="B16" i="1"/>
  <c r="E15" i="1"/>
  <c r="G15" i="1" s="1"/>
  <c r="D15" i="1"/>
  <c r="F15" i="1" s="1"/>
  <c r="F15" i="2"/>
  <c r="A16" i="2"/>
  <c r="G15" i="2"/>
  <c r="B17" i="2"/>
  <c r="E16" i="2"/>
  <c r="D16" i="2"/>
  <c r="D16" i="1" l="1"/>
  <c r="E16" i="1"/>
  <c r="G16" i="1" s="1"/>
  <c r="B17" i="1"/>
  <c r="A17" i="1"/>
  <c r="F16" i="1"/>
  <c r="F16" i="2"/>
  <c r="A17" i="2"/>
  <c r="G16" i="2"/>
  <c r="B18" i="2"/>
  <c r="E17" i="2"/>
  <c r="D17" i="2"/>
  <c r="B18" i="1" l="1"/>
  <c r="E17" i="1"/>
  <c r="G17" i="1" s="1"/>
  <c r="D17" i="1"/>
  <c r="F17" i="2"/>
  <c r="A18" i="2"/>
  <c r="G17" i="2"/>
  <c r="A18" i="1"/>
  <c r="F17" i="1"/>
  <c r="B19" i="2"/>
  <c r="E18" i="2"/>
  <c r="D18" i="2"/>
  <c r="A19" i="1" l="1"/>
  <c r="B20" i="2"/>
  <c r="E19" i="2"/>
  <c r="D19" i="2"/>
  <c r="F18" i="2"/>
  <c r="A19" i="2"/>
  <c r="G18" i="2"/>
  <c r="B19" i="1"/>
  <c r="E18" i="1"/>
  <c r="G18" i="1" s="1"/>
  <c r="D18" i="1"/>
  <c r="F18" i="1" s="1"/>
  <c r="B21" i="2" l="1"/>
  <c r="E20" i="2"/>
  <c r="D20" i="2"/>
  <c r="D19" i="1"/>
  <c r="F19" i="1" s="1"/>
  <c r="B20" i="1"/>
  <c r="E19" i="1"/>
  <c r="G19" i="1" s="1"/>
  <c r="A20" i="1"/>
  <c r="F19" i="2"/>
  <c r="A20" i="2"/>
  <c r="G19" i="2"/>
  <c r="F20" i="2" l="1"/>
  <c r="A21" i="2"/>
  <c r="G20" i="2"/>
  <c r="A21" i="1"/>
  <c r="D20" i="1"/>
  <c r="F20" i="1" s="1"/>
  <c r="B21" i="1"/>
  <c r="E20" i="1"/>
  <c r="G20" i="1" s="1"/>
  <c r="B22" i="2"/>
  <c r="E21" i="2"/>
  <c r="D21" i="2"/>
  <c r="B22" i="1" l="1"/>
  <c r="E21" i="1"/>
  <c r="G21" i="1" s="1"/>
  <c r="D21" i="1"/>
  <c r="B23" i="2"/>
  <c r="E22" i="2"/>
  <c r="D22" i="2"/>
  <c r="F21" i="2"/>
  <c r="A22" i="2"/>
  <c r="G21" i="2"/>
  <c r="A22" i="1"/>
  <c r="F21" i="1"/>
  <c r="B24" i="2" l="1"/>
  <c r="E23" i="2"/>
  <c r="D23" i="2"/>
  <c r="F22" i="2"/>
  <c r="A23" i="2"/>
  <c r="G22" i="2"/>
  <c r="A23" i="1"/>
  <c r="B23" i="1"/>
  <c r="E22" i="1"/>
  <c r="G22" i="1" s="1"/>
  <c r="D22" i="1"/>
  <c r="F22" i="1" s="1"/>
  <c r="A24" i="1" l="1"/>
  <c r="D23" i="1"/>
  <c r="F23" i="1" s="1"/>
  <c r="B24" i="1"/>
  <c r="E23" i="1"/>
  <c r="G23" i="1" s="1"/>
  <c r="F23" i="2"/>
  <c r="A24" i="2"/>
  <c r="G23" i="2"/>
  <c r="B25" i="2"/>
  <c r="E24" i="2"/>
  <c r="D24" i="2"/>
  <c r="F24" i="2" l="1"/>
  <c r="A25" i="2"/>
  <c r="G24" i="2"/>
  <c r="B26" i="2"/>
  <c r="E25" i="2"/>
  <c r="D25" i="2"/>
  <c r="A25" i="1"/>
  <c r="G24" i="1"/>
  <c r="D24" i="1"/>
  <c r="F24" i="1" s="1"/>
  <c r="E24" i="1"/>
  <c r="B25" i="1"/>
  <c r="B27" i="2" l="1"/>
  <c r="E26" i="2"/>
  <c r="D26" i="2"/>
  <c r="A26" i="1"/>
  <c r="B26" i="1"/>
  <c r="E25" i="1"/>
  <c r="G25" i="1" s="1"/>
  <c r="D25" i="1"/>
  <c r="F25" i="1" s="1"/>
  <c r="F25" i="2"/>
  <c r="A26" i="2"/>
  <c r="G25" i="2"/>
  <c r="F26" i="2" l="1"/>
  <c r="A27" i="2"/>
  <c r="G26" i="2"/>
  <c r="B27" i="1"/>
  <c r="E26" i="1"/>
  <c r="G26" i="1" s="1"/>
  <c r="D26" i="1"/>
  <c r="F26" i="1" s="1"/>
  <c r="A27" i="1"/>
  <c r="B28" i="2"/>
  <c r="E27" i="2"/>
  <c r="D27" i="2"/>
  <c r="D27" i="1" l="1"/>
  <c r="F27" i="1" s="1"/>
  <c r="B28" i="1"/>
  <c r="E27" i="1"/>
  <c r="G27" i="1" s="1"/>
  <c r="B29" i="2"/>
  <c r="E28" i="2"/>
  <c r="D28" i="2"/>
  <c r="F27" i="2"/>
  <c r="A28" i="2"/>
  <c r="G27" i="2"/>
  <c r="A28" i="1"/>
  <c r="A29" i="1" l="1"/>
  <c r="B30" i="2"/>
  <c r="E29" i="2"/>
  <c r="D29" i="2"/>
  <c r="D28" i="1"/>
  <c r="F28" i="1" s="1"/>
  <c r="B29" i="1"/>
  <c r="E28" i="1"/>
  <c r="G28" i="1" s="1"/>
  <c r="F28" i="2"/>
  <c r="A29" i="2"/>
  <c r="G28" i="2"/>
  <c r="B31" i="2" l="1"/>
  <c r="E30" i="2"/>
  <c r="D30" i="2"/>
  <c r="F29" i="2"/>
  <c r="A30" i="2"/>
  <c r="G29" i="2"/>
  <c r="B30" i="1"/>
  <c r="E29" i="1"/>
  <c r="G29" i="1" s="1"/>
  <c r="D29" i="1"/>
  <c r="F29" i="1" s="1"/>
  <c r="A30" i="1"/>
  <c r="B31" i="1" l="1"/>
  <c r="E30" i="1"/>
  <c r="G30" i="1" s="1"/>
  <c r="D30" i="1"/>
  <c r="F30" i="1" s="1"/>
  <c r="A31" i="1"/>
  <c r="F30" i="2"/>
  <c r="A31" i="2"/>
  <c r="G30" i="2"/>
  <c r="B32" i="2"/>
  <c r="E31" i="2"/>
  <c r="D31" i="2"/>
  <c r="B33" i="2" l="1"/>
  <c r="E32" i="2"/>
  <c r="D32" i="2"/>
  <c r="F31" i="2"/>
  <c r="A32" i="2"/>
  <c r="G31" i="2"/>
  <c r="A32" i="1"/>
  <c r="F31" i="1"/>
  <c r="D31" i="1"/>
  <c r="B32" i="1"/>
  <c r="E31" i="1"/>
  <c r="G31" i="1" s="1"/>
  <c r="D32" i="1" l="1"/>
  <c r="B33" i="1"/>
  <c r="E32" i="1"/>
  <c r="G32" i="1" s="1"/>
  <c r="A33" i="1"/>
  <c r="F32" i="1"/>
  <c r="F32" i="2"/>
  <c r="A33" i="2"/>
  <c r="G32" i="2"/>
  <c r="B34" i="2"/>
  <c r="E33" i="2"/>
  <c r="D33" i="2"/>
  <c r="F33" i="2" l="1"/>
  <c r="A34" i="2"/>
  <c r="G33" i="2"/>
  <c r="A34" i="1"/>
  <c r="B34" i="1"/>
  <c r="E33" i="1"/>
  <c r="G33" i="1" s="1"/>
  <c r="D33" i="1"/>
  <c r="F33" i="1" s="1"/>
  <c r="B35" i="2"/>
  <c r="E34" i="2"/>
  <c r="D34" i="2"/>
  <c r="B35" i="1" l="1"/>
  <c r="E34" i="1"/>
  <c r="G34" i="1" s="1"/>
  <c r="D34" i="1"/>
  <c r="F34" i="1" s="1"/>
  <c r="B36" i="2"/>
  <c r="E35" i="2"/>
  <c r="D35" i="2"/>
  <c r="F34" i="2"/>
  <c r="A35" i="2"/>
  <c r="G34" i="2"/>
  <c r="A35" i="1"/>
  <c r="B37" i="2" l="1"/>
  <c r="E36" i="2"/>
  <c r="D36" i="2"/>
  <c r="F35" i="2"/>
  <c r="A36" i="2"/>
  <c r="G35" i="2"/>
  <c r="A36" i="1"/>
  <c r="D35" i="1"/>
  <c r="F35" i="1" s="1"/>
  <c r="B36" i="1"/>
  <c r="E35" i="1"/>
  <c r="G35" i="1" s="1"/>
  <c r="D36" i="1" l="1"/>
  <c r="E36" i="1"/>
  <c r="G36" i="1" s="1"/>
  <c r="B37" i="1"/>
  <c r="A37" i="1"/>
  <c r="F36" i="1"/>
  <c r="F36" i="2"/>
  <c r="A37" i="2"/>
  <c r="G36" i="2"/>
  <c r="B38" i="2"/>
  <c r="E37" i="2"/>
  <c r="D37" i="2"/>
  <c r="F37" i="2" l="1"/>
  <c r="A38" i="2"/>
  <c r="G37" i="2"/>
  <c r="B38" i="1"/>
  <c r="E37" i="1"/>
  <c r="G37" i="1" s="1"/>
  <c r="D37" i="1"/>
  <c r="F37" i="1" s="1"/>
  <c r="A38" i="1"/>
  <c r="B39" i="2"/>
  <c r="E38" i="2"/>
  <c r="D38" i="2"/>
  <c r="B39" i="1" l="1"/>
  <c r="E38" i="1"/>
  <c r="G38" i="1" s="1"/>
  <c r="D38" i="1"/>
  <c r="F38" i="1" s="1"/>
  <c r="A39" i="1"/>
  <c r="B40" i="2"/>
  <c r="E39" i="2"/>
  <c r="D39" i="2"/>
  <c r="F38" i="2"/>
  <c r="A39" i="2"/>
  <c r="G38" i="2"/>
  <c r="F39" i="2" l="1"/>
  <c r="A40" i="2"/>
  <c r="G39" i="2"/>
  <c r="E40" i="2"/>
  <c r="D40" i="2"/>
  <c r="B41" i="2"/>
  <c r="A40" i="1"/>
  <c r="B40" i="1"/>
  <c r="E39" i="1"/>
  <c r="G39" i="1" s="1"/>
  <c r="D39" i="1"/>
  <c r="F39" i="1" s="1"/>
  <c r="A41" i="1" l="1"/>
  <c r="D40" i="1"/>
  <c r="F40" i="1" s="1"/>
  <c r="E40" i="1"/>
  <c r="G40" i="1" s="1"/>
  <c r="B41" i="1"/>
  <c r="E41" i="2"/>
  <c r="D41" i="2"/>
  <c r="B42" i="2"/>
  <c r="A41" i="2"/>
  <c r="G40" i="2"/>
  <c r="F40" i="2"/>
  <c r="A42" i="2" l="1"/>
  <c r="G41" i="2"/>
  <c r="F41" i="2"/>
  <c r="B42" i="1"/>
  <c r="E41" i="1"/>
  <c r="D41" i="1"/>
  <c r="E42" i="2"/>
  <c r="D42" i="2"/>
  <c r="B43" i="2"/>
  <c r="F41" i="1"/>
  <c r="A42" i="1"/>
  <c r="G41" i="1"/>
  <c r="B43" i="1" l="1"/>
  <c r="E42" i="1"/>
  <c r="G42" i="1" s="1"/>
  <c r="D42" i="1"/>
  <c r="F42" i="1" s="1"/>
  <c r="A43" i="1"/>
  <c r="E43" i="2"/>
  <c r="D43" i="2"/>
  <c r="B44" i="2"/>
  <c r="A43" i="2"/>
  <c r="G42" i="2"/>
  <c r="F42" i="2"/>
  <c r="A44" i="2" l="1"/>
  <c r="G43" i="2"/>
  <c r="F43" i="2"/>
  <c r="E44" i="2"/>
  <c r="D44" i="2"/>
  <c r="B45" i="2"/>
  <c r="A44" i="1"/>
  <c r="D43" i="1"/>
  <c r="F43" i="1" s="1"/>
  <c r="B44" i="1"/>
  <c r="E43" i="1"/>
  <c r="G43" i="1" s="1"/>
  <c r="D44" i="1" l="1"/>
  <c r="B45" i="1"/>
  <c r="E44" i="1"/>
  <c r="G44" i="1" s="1"/>
  <c r="E45" i="2"/>
  <c r="D45" i="2"/>
  <c r="B46" i="2"/>
  <c r="A45" i="1"/>
  <c r="F44" i="1"/>
  <c r="A45" i="2"/>
  <c r="G44" i="2"/>
  <c r="F44" i="2"/>
  <c r="A46" i="1" l="1"/>
  <c r="E46" i="2"/>
  <c r="D46" i="2"/>
  <c r="B47" i="2"/>
  <c r="B46" i="1"/>
  <c r="E45" i="1"/>
  <c r="G45" i="1" s="1"/>
  <c r="D45" i="1"/>
  <c r="F45" i="1" s="1"/>
  <c r="A46" i="2"/>
  <c r="G45" i="2"/>
  <c r="F45" i="2"/>
  <c r="E47" i="2" l="1"/>
  <c r="D47" i="2"/>
  <c r="B48" i="2"/>
  <c r="B47" i="1"/>
  <c r="E46" i="1"/>
  <c r="D46" i="1"/>
  <c r="A47" i="2"/>
  <c r="G46" i="2"/>
  <c r="F46" i="2"/>
  <c r="F46" i="1"/>
  <c r="A47" i="1"/>
  <c r="G46" i="1"/>
  <c r="A48" i="1" l="1"/>
  <c r="D47" i="1"/>
  <c r="F47" i="1" s="1"/>
  <c r="B48" i="1"/>
  <c r="E47" i="1"/>
  <c r="G47" i="1" s="1"/>
  <c r="A48" i="2"/>
  <c r="G47" i="2"/>
  <c r="F47" i="2"/>
  <c r="E48" i="2"/>
  <c r="D48" i="2"/>
  <c r="B49" i="2"/>
  <c r="A49" i="2" l="1"/>
  <c r="G48" i="2"/>
  <c r="F48" i="2"/>
  <c r="E49" i="2"/>
  <c r="D49" i="2"/>
  <c r="B50" i="2"/>
  <c r="A49" i="1"/>
  <c r="D48" i="1"/>
  <c r="F48" i="1" s="1"/>
  <c r="B49" i="1"/>
  <c r="E48" i="1"/>
  <c r="G48" i="1" s="1"/>
  <c r="A50" i="1" l="1"/>
  <c r="B50" i="1"/>
  <c r="E49" i="1"/>
  <c r="G49" i="1" s="1"/>
  <c r="D49" i="1"/>
  <c r="F49" i="1" s="1"/>
  <c r="E50" i="2"/>
  <c r="D50" i="2"/>
  <c r="B51" i="2"/>
  <c r="A50" i="2"/>
  <c r="G49" i="2"/>
  <c r="F49" i="2"/>
  <c r="B51" i="1" l="1"/>
  <c r="E50" i="1"/>
  <c r="G50" i="1" s="1"/>
  <c r="D50" i="1"/>
  <c r="F50" i="1" s="1"/>
  <c r="A51" i="2"/>
  <c r="G50" i="2"/>
  <c r="F50" i="2"/>
  <c r="E51" i="2"/>
  <c r="D51" i="2"/>
  <c r="B52" i="2"/>
  <c r="A51" i="1"/>
  <c r="E52" i="2" l="1"/>
  <c r="D52" i="2"/>
  <c r="B53" i="2"/>
  <c r="F51" i="1"/>
  <c r="A52" i="1"/>
  <c r="A52" i="2"/>
  <c r="G51" i="2"/>
  <c r="F51" i="2"/>
  <c r="D51" i="1"/>
  <c r="B52" i="1"/>
  <c r="E51" i="1"/>
  <c r="G51" i="1" s="1"/>
  <c r="A53" i="2" l="1"/>
  <c r="G52" i="2"/>
  <c r="F52" i="2"/>
  <c r="D52" i="1"/>
  <c r="E52" i="1"/>
  <c r="B53" i="1"/>
  <c r="E53" i="2"/>
  <c r="D53" i="2"/>
  <c r="B54" i="2"/>
  <c r="A53" i="1"/>
  <c r="G52" i="1"/>
  <c r="F52" i="1"/>
  <c r="B54" i="1" l="1"/>
  <c r="E53" i="1"/>
  <c r="G53" i="1" s="1"/>
  <c r="D53" i="1"/>
  <c r="F53" i="1" s="1"/>
  <c r="A54" i="1"/>
  <c r="E54" i="2"/>
  <c r="D54" i="2"/>
  <c r="B55" i="2"/>
  <c r="A54" i="2"/>
  <c r="G53" i="2"/>
  <c r="F53" i="2"/>
  <c r="A55" i="1" l="1"/>
  <c r="A55" i="2"/>
  <c r="G54" i="2"/>
  <c r="F54" i="2"/>
  <c r="E55" i="2"/>
  <c r="D55" i="2"/>
  <c r="B56" i="2"/>
  <c r="B55" i="1"/>
  <c r="E54" i="1"/>
  <c r="G54" i="1" s="1"/>
  <c r="D54" i="1"/>
  <c r="F54" i="1" s="1"/>
  <c r="A56" i="2" l="1"/>
  <c r="G55" i="2"/>
  <c r="F55" i="2"/>
  <c r="A56" i="1"/>
  <c r="B56" i="1"/>
  <c r="E55" i="1"/>
  <c r="G55" i="1" s="1"/>
  <c r="D55" i="1"/>
  <c r="F55" i="1" s="1"/>
  <c r="E56" i="2"/>
  <c r="D56" i="2"/>
  <c r="B57" i="2"/>
  <c r="E57" i="2" l="1"/>
  <c r="D57" i="2"/>
  <c r="B58" i="2"/>
  <c r="D56" i="1"/>
  <c r="F56" i="1" s="1"/>
  <c r="B57" i="1"/>
  <c r="E56" i="1"/>
  <c r="A57" i="1"/>
  <c r="G56" i="1"/>
  <c r="A57" i="2"/>
  <c r="G56" i="2"/>
  <c r="F56" i="2"/>
  <c r="E58" i="2" l="1"/>
  <c r="D58" i="2"/>
  <c r="B59" i="2"/>
  <c r="A58" i="1"/>
  <c r="A58" i="2"/>
  <c r="G57" i="2"/>
  <c r="F57" i="2"/>
  <c r="B58" i="1"/>
  <c r="E57" i="1"/>
  <c r="G57" i="1" s="1"/>
  <c r="D57" i="1"/>
  <c r="F57" i="1" s="1"/>
  <c r="A59" i="2" l="1"/>
  <c r="G58" i="2"/>
  <c r="F58" i="2"/>
  <c r="E59" i="2"/>
  <c r="D59" i="2"/>
  <c r="B60" i="2"/>
  <c r="A59" i="1"/>
  <c r="B59" i="1"/>
  <c r="E58" i="1"/>
  <c r="G58" i="1" s="1"/>
  <c r="D58" i="1"/>
  <c r="F58" i="1" s="1"/>
  <c r="D59" i="1" l="1"/>
  <c r="F59" i="1" s="1"/>
  <c r="B60" i="1"/>
  <c r="E59" i="1"/>
  <c r="G59" i="1" s="1"/>
  <c r="E60" i="2"/>
  <c r="D60" i="2"/>
  <c r="B61" i="2"/>
  <c r="A60" i="1"/>
  <c r="A60" i="2"/>
  <c r="G59" i="2"/>
  <c r="F59" i="2"/>
  <c r="D60" i="1" l="1"/>
  <c r="E60" i="1"/>
  <c r="G60" i="1" s="1"/>
  <c r="B61" i="1"/>
  <c r="A61" i="2"/>
  <c r="G60" i="2"/>
  <c r="F60" i="2"/>
  <c r="E61" i="2"/>
  <c r="D61" i="2"/>
  <c r="B62" i="2"/>
  <c r="A61" i="1"/>
  <c r="F60" i="1"/>
  <c r="B62" i="1" l="1"/>
  <c r="E61" i="1"/>
  <c r="G61" i="1" s="1"/>
  <c r="D61" i="1"/>
  <c r="F61" i="1" s="1"/>
  <c r="A62" i="2"/>
  <c r="G61" i="2"/>
  <c r="F61" i="2"/>
  <c r="A62" i="1"/>
  <c r="E62" i="2"/>
  <c r="D62" i="2"/>
  <c r="B63" i="2"/>
  <c r="A63" i="1" l="1"/>
  <c r="E63" i="2"/>
  <c r="D63" i="2"/>
  <c r="B64" i="2"/>
  <c r="A63" i="2"/>
  <c r="G62" i="2"/>
  <c r="F62" i="2"/>
  <c r="B63" i="1"/>
  <c r="E62" i="1"/>
  <c r="G62" i="1" s="1"/>
  <c r="D62" i="1"/>
  <c r="F62" i="1" s="1"/>
  <c r="A64" i="2" l="1"/>
  <c r="G63" i="2"/>
  <c r="F63" i="2"/>
  <c r="A64" i="1"/>
  <c r="E64" i="2"/>
  <c r="D64" i="2"/>
  <c r="B65" i="2"/>
  <c r="B64" i="1"/>
  <c r="E63" i="1"/>
  <c r="G63" i="1" s="1"/>
  <c r="D63" i="1"/>
  <c r="F63" i="1" s="1"/>
  <c r="D64" i="1" l="1"/>
  <c r="B65" i="1"/>
  <c r="E64" i="1"/>
  <c r="E65" i="2"/>
  <c r="D65" i="2"/>
  <c r="B66" i="2"/>
  <c r="A65" i="1"/>
  <c r="G64" i="1"/>
  <c r="F64" i="1"/>
  <c r="A65" i="2"/>
  <c r="G64" i="2"/>
  <c r="F64" i="2"/>
  <c r="E66" i="2" l="1"/>
  <c r="D66" i="2"/>
  <c r="B67" i="2"/>
  <c r="A66" i="1"/>
  <c r="A66" i="2"/>
  <c r="G65" i="2"/>
  <c r="F65" i="2"/>
  <c r="B66" i="1"/>
  <c r="E65" i="1"/>
  <c r="G65" i="1" s="1"/>
  <c r="D65" i="1"/>
  <c r="F65" i="1" s="1"/>
  <c r="E67" i="2" l="1"/>
  <c r="D67" i="2"/>
  <c r="B68" i="2"/>
  <c r="A67" i="1"/>
  <c r="A67" i="2"/>
  <c r="G66" i="2"/>
  <c r="F66" i="2"/>
  <c r="B67" i="1"/>
  <c r="E66" i="1"/>
  <c r="G66" i="1" s="1"/>
  <c r="D66" i="1"/>
  <c r="F66" i="1" s="1"/>
  <c r="E68" i="2" l="1"/>
  <c r="D68" i="2"/>
  <c r="B69" i="2"/>
  <c r="A68" i="2"/>
  <c r="G67" i="2"/>
  <c r="F67" i="2"/>
  <c r="B68" i="1"/>
  <c r="E67" i="1"/>
  <c r="G67" i="1" s="1"/>
  <c r="D67" i="1"/>
  <c r="F67" i="1" s="1"/>
  <c r="A68" i="1"/>
  <c r="A69" i="1" l="1"/>
  <c r="E69" i="2"/>
  <c r="D69" i="2"/>
  <c r="B70" i="2"/>
  <c r="D68" i="1"/>
  <c r="F68" i="1" s="1"/>
  <c r="E68" i="1"/>
  <c r="G68" i="1" s="1"/>
  <c r="B69" i="1"/>
  <c r="A69" i="2"/>
  <c r="G68" i="2"/>
  <c r="F68" i="2"/>
  <c r="E70" i="2" l="1"/>
  <c r="D70" i="2"/>
  <c r="B71" i="2"/>
  <c r="A70" i="2"/>
  <c r="G69" i="2"/>
  <c r="F69" i="2"/>
  <c r="B70" i="1"/>
  <c r="E69" i="1"/>
  <c r="G69" i="1" s="1"/>
  <c r="D69" i="1"/>
  <c r="F69" i="1" s="1"/>
  <c r="A70" i="1"/>
  <c r="B71" i="1" l="1"/>
  <c r="E70" i="1"/>
  <c r="G70" i="1" s="1"/>
  <c r="D70" i="1"/>
  <c r="E71" i="2"/>
  <c r="D71" i="2"/>
  <c r="B72" i="2"/>
  <c r="F70" i="1"/>
  <c r="A71" i="1"/>
  <c r="A71" i="2"/>
  <c r="G70" i="2"/>
  <c r="F70" i="2"/>
  <c r="A72" i="1" l="1"/>
  <c r="E72" i="2"/>
  <c r="D72" i="2"/>
  <c r="B73" i="2"/>
  <c r="A72" i="2"/>
  <c r="G71" i="2"/>
  <c r="F71" i="2"/>
  <c r="D71" i="1"/>
  <c r="F71" i="1" s="1"/>
  <c r="B72" i="1"/>
  <c r="E71" i="1"/>
  <c r="G71" i="1" s="1"/>
  <c r="A73" i="2" l="1"/>
  <c r="G72" i="2"/>
  <c r="F72" i="2"/>
  <c r="E73" i="2"/>
  <c r="D73" i="2"/>
  <c r="B74" i="2"/>
  <c r="D72" i="1"/>
  <c r="E72" i="1"/>
  <c r="G72" i="1" s="1"/>
  <c r="B73" i="1"/>
  <c r="A73" i="1"/>
  <c r="F72" i="1"/>
  <c r="E74" i="2" l="1"/>
  <c r="D74" i="2"/>
  <c r="B75" i="2"/>
  <c r="A74" i="1"/>
  <c r="B74" i="1"/>
  <c r="E73" i="1"/>
  <c r="G73" i="1" s="1"/>
  <c r="D73" i="1"/>
  <c r="F73" i="1" s="1"/>
  <c r="A74" i="2"/>
  <c r="G73" i="2"/>
  <c r="F73" i="2"/>
  <c r="B75" i="1" l="1"/>
  <c r="E74" i="1"/>
  <c r="D74" i="1"/>
  <c r="F74" i="1" s="1"/>
  <c r="E75" i="2"/>
  <c r="D75" i="2"/>
  <c r="B76" i="2"/>
  <c r="A75" i="2"/>
  <c r="G74" i="2"/>
  <c r="F74" i="2"/>
  <c r="G74" i="1"/>
  <c r="A75" i="1"/>
  <c r="A76" i="2" l="1"/>
  <c r="G75" i="2"/>
  <c r="F75" i="2"/>
  <c r="A76" i="1"/>
  <c r="E76" i="2"/>
  <c r="D76" i="2"/>
  <c r="B77" i="2"/>
  <c r="D75" i="1"/>
  <c r="F75" i="1" s="1"/>
  <c r="B76" i="1"/>
  <c r="E75" i="1"/>
  <c r="G75" i="1" s="1"/>
  <c r="D76" i="1" l="1"/>
  <c r="B77" i="1"/>
  <c r="E76" i="1"/>
  <c r="G76" i="1" s="1"/>
  <c r="E77" i="2"/>
  <c r="D77" i="2"/>
  <c r="B78" i="2"/>
  <c r="A77" i="1"/>
  <c r="F76" i="1"/>
  <c r="A77" i="2"/>
  <c r="G76" i="2"/>
  <c r="F76" i="2"/>
  <c r="A78" i="1" l="1"/>
  <c r="A78" i="2"/>
  <c r="G77" i="2"/>
  <c r="F77" i="2"/>
  <c r="B78" i="1"/>
  <c r="E77" i="1"/>
  <c r="G77" i="1" s="1"/>
  <c r="D77" i="1"/>
  <c r="F77" i="1" s="1"/>
  <c r="E78" i="2"/>
  <c r="D78" i="2"/>
  <c r="E78" i="1" l="1"/>
  <c r="G78" i="1" s="1"/>
  <c r="D78" i="1"/>
  <c r="F78" i="1" s="1"/>
  <c r="I8" i="1" s="1"/>
  <c r="G78" i="2"/>
  <c r="F78" i="2"/>
</calcChain>
</file>

<file path=xl/sharedStrings.xml><?xml version="1.0" encoding="utf-8"?>
<sst xmlns="http://schemas.openxmlformats.org/spreadsheetml/2006/main" count="28" uniqueCount="16">
  <si>
    <t xml:space="preserve">Dados dos activos con tendencia anual 10% y 15%, volatilidad 20% y 25%, correlación del 70%. Supóngase que el valor de estos activos en t=0.3 es 10 y 15. Supóngase que la tasa de interés continua anual ("r") es igual a 0,04. </t>
  </si>
  <si>
    <t>Supóngase que el máximo valor que tomó el activo S entre 0 y 3 es 12 y el mínimo valor que tomó el activo Y entre 0 y 3 es 11.</t>
  </si>
  <si>
    <t>Calcule, por el método de simulación de montecarlo, el valor de un derivado cuyo payoff, pagadero en T=1, es igual a la diferencia entre el máximo valor que tome el activo S entre 0 y 1  y el mínimo valor que tome el activo Y entre 0 y 1.</t>
  </si>
  <si>
    <t>Exponga en la siguiente tabla el modelo de simulación:</t>
  </si>
  <si>
    <t>t</t>
  </si>
  <si>
    <t>Wt1-W[0,3]1</t>
  </si>
  <si>
    <t>Wt2-W[0,3]2</t>
  </si>
  <si>
    <t>WSt-WS[0,3]</t>
  </si>
  <si>
    <t>WYt-WY[0,3]</t>
  </si>
  <si>
    <t>St</t>
  </si>
  <si>
    <t>Yt</t>
  </si>
  <si>
    <t>Vt</t>
  </si>
  <si>
    <t>j</t>
  </si>
  <si>
    <t>X</t>
  </si>
  <si>
    <t>Vt[t = 0,3]</t>
  </si>
  <si>
    <t>←con 1 sola simulación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</si>
</sst>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19050</xdr:colOff>
      <xdr:row>9</xdr:row>
      <xdr:rowOff>9525</xdr:rowOff>
    </xdr:from>
    <xdr:ext cx="1749582" cy="1765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/>
            <xdr:cNvSpPr txBox="1"/>
          </xdr:nvSpPr>
          <xdr:spPr>
            <a:xfrm>
              <a:off x="5915025" y="1724025"/>
              <a:ext cx="1749582" cy="1765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Δ</m:t>
                    </m:r>
                    <m:sSubSup>
                      <m:sSubSupPr>
                        <m:ctrlPr>
                          <a:rPr lang="el-G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p>
                    </m:sSubSup>
                    <m:r>
                      <a:rPr lang="es-A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~ </m:t>
                    </m:r>
                    <m:r>
                      <a:rPr lang="es-A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𝒩</m:t>
                    </m:r>
                    <m:d>
                      <m:dPr>
                        <m:ctrlP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=0;</m:t>
                        </m:r>
                        <m:sSup>
                          <m:sSupPr>
                            <m:ctrlP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p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=0,01</m:t>
                        </m:r>
                      </m:e>
                    </m:d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5915025" y="1724025"/>
              <a:ext cx="1749582" cy="1765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l-G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𝑊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𝑡^1  ~ 𝒩(𝜇=0;𝜎^2=0,01)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8</xdr:col>
      <xdr:colOff>9525</xdr:colOff>
      <xdr:row>11</xdr:row>
      <xdr:rowOff>9525</xdr:rowOff>
    </xdr:from>
    <xdr:ext cx="1794722" cy="1983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/>
            <xdr:cNvSpPr txBox="1"/>
          </xdr:nvSpPr>
          <xdr:spPr>
            <a:xfrm>
              <a:off x="5905500" y="2105025"/>
              <a:ext cx="1794722" cy="1983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Δ</m:t>
                    </m:r>
                    <m:sSubSup>
                      <m:sSubSupPr>
                        <m:ctrlP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bSup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~ 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𝒩</m:t>
                    </m:r>
                    <m:d>
                      <m:d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𝜇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=0;</m:t>
                        </m:r>
                        <m:sSup>
                          <m:sSup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p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=0,01</m:t>
                        </m:r>
                      </m:e>
                    </m:d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5905500" y="2105025"/>
              <a:ext cx="1794722" cy="1983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𝑡^2  ~ 𝒩(𝜇=0;𝜎^2=0,01)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8</xdr:col>
      <xdr:colOff>85725</xdr:colOff>
      <xdr:row>18</xdr:row>
      <xdr:rowOff>0</xdr:rowOff>
    </xdr:from>
    <xdr:ext cx="742191" cy="1765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/>
            <xdr:cNvSpPr txBox="1"/>
          </xdr:nvSpPr>
          <xdr:spPr>
            <a:xfrm>
              <a:off x="5981700" y="2857500"/>
              <a:ext cx="742191" cy="1765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Δ</m:t>
                  </m:r>
                  <m:sSubSup>
                    <m:sSubSupPr>
                      <m:ctrlPr>
                        <a:rPr lang="el-GR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SupPr>
                    <m:e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𝑊</m:t>
                      </m:r>
                    </m:e>
                    <m:sub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  <m:sup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𝑠</m:t>
                      </m:r>
                    </m:sup>
                  </m:sSubSup>
                  <m:r>
                    <a:rPr lang="es-A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s-AR" sz="1100"/>
                <a:t>=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Δ</m:t>
                  </m:r>
                  <m:sSubSup>
                    <m:sSubSupPr>
                      <m:ctrlPr>
                        <a:rPr lang="el-GR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SupPr>
                    <m:e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𝑊</m:t>
                      </m:r>
                    </m:e>
                    <m:sub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  <m:sup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p>
                  </m:sSubSup>
                </m:oMath>
              </a14:m>
              <a:r>
                <a:rPr lang="es-AR" sz="1100"/>
                <a:t> </a:t>
              </a:r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5981700" y="2857500"/>
              <a:ext cx="742191" cy="1765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𝑡^𝑠  </a:t>
              </a:r>
              <a:r>
                <a:rPr lang="es-AR" sz="1100"/>
                <a:t>= 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𝑡^1</a:t>
              </a:r>
              <a:r>
                <a:rPr lang="es-AR" sz="1100"/>
                <a:t> </a:t>
              </a:r>
            </a:p>
          </xdr:txBody>
        </xdr:sp>
      </mc:Fallback>
    </mc:AlternateContent>
    <xdr:clientData/>
  </xdr:oneCellAnchor>
  <xdr:oneCellAnchor>
    <xdr:from>
      <xdr:col>7</xdr:col>
      <xdr:colOff>514349</xdr:colOff>
      <xdr:row>31</xdr:row>
      <xdr:rowOff>142876</xdr:rowOff>
    </xdr:from>
    <xdr:ext cx="2952751" cy="3143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/>
            <xdr:cNvSpPr txBox="1"/>
          </xdr:nvSpPr>
          <xdr:spPr>
            <a:xfrm>
              <a:off x="5800724" y="4333876"/>
              <a:ext cx="2952751" cy="3143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s-AR" sz="12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AR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0,3</m:t>
                        </m:r>
                      </m:sub>
                    </m:sSub>
                    <m:r>
                      <a:rPr lang="es-AR" sz="1200" b="0" i="1">
                        <a:latin typeface="Cambria Math" panose="02040503050406030204" pitchFamily="18" charset="0"/>
                      </a:rPr>
                      <m:t>.</m:t>
                    </m:r>
                    <m:sSup>
                      <m:sSupPr>
                        <m:ctrlPr>
                          <a:rPr lang="es-AR" sz="12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d>
                          <m:dPr>
                            <m:ctrlPr>
                              <a:rPr lang="es-AR" sz="12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AR" sz="12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  <m:r>
                              <a:rPr lang="es-AR" sz="1200" b="0" i="1">
                                <a:latin typeface="Cambria Math" panose="02040503050406030204" pitchFamily="18" charset="0"/>
                              </a:rPr>
                              <m:t>−0,5 . </m:t>
                            </m:r>
                            <m:sSubSup>
                              <m:sSubSupPr>
                                <m:ctrlPr>
                                  <a:rPr lang="es-AR" sz="12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s-AR" sz="12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𝜎</m:t>
                                </m:r>
                              </m:e>
                              <m:sub>
                                <m:r>
                                  <a:rPr lang="es-AR" sz="12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sub>
                              <m:sup>
                                <m:r>
                                  <a:rPr lang="es-AR" sz="12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d>
                        <m:d>
                          <m:dPr>
                            <m:ctrlPr>
                              <a:rPr lang="es-AR" sz="12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AR" sz="12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AR" sz="1200" b="0" i="1">
                                <a:latin typeface="Cambria Math" panose="02040503050406030204" pitchFamily="18" charset="0"/>
                              </a:rPr>
                              <m:t>−0,3</m:t>
                            </m:r>
                          </m:e>
                        </m:d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+</m:t>
                        </m:r>
                        <m:sSubSup>
                          <m:sSubSupPr>
                            <m:ctrlP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sub>
                          <m:sup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  <m:r>
                          <a:rPr lang="es-AR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.  </m:t>
                        </m:r>
                        <m:d>
                          <m:dPr>
                            <m:ctrlP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Sup>
                              <m:sSubSupPr>
                                <m:ctrlP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acc>
                                  <m:accPr>
                                    <m:chr m:val="̃"/>
                                    <m:ctrlPr>
                                      <a:rPr lang="es-AR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accPr>
                                  <m:e>
                                    <m:r>
                                      <a:rPr lang="es-AR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𝑊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</m:t>
                                </m:r>
                              </m:sup>
                            </m:sSubSup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Sup>
                              <m:sSubSupPr>
                                <m:ctrlP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acc>
                                  <m:accPr>
                                    <m:chr m:val="̃"/>
                                    <m:ctrlPr>
                                      <a:rPr lang="es-AR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accPr>
                                  <m:e>
                                    <m:r>
                                      <a:rPr lang="es-AR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𝑊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0,3</m:t>
                                </m:r>
                              </m:sub>
                              <m:sup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</m:t>
                                </m:r>
                              </m:sup>
                            </m:sSubSup>
                          </m:e>
                        </m:d>
                      </m:sup>
                    </m:sSup>
                  </m:oMath>
                </m:oMathPara>
              </a14:m>
              <a:endParaRPr lang="es-AR" sz="1200"/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5800724" y="4333876"/>
              <a:ext cx="2952751" cy="3143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AR" sz="1200" b="0" i="0">
                  <a:latin typeface="Cambria Math" panose="02040503050406030204" pitchFamily="18" charset="0"/>
                </a:rPr>
                <a:t>𝑆_𝑡=𝑆_0,3.𝑒^((𝑟−0,5 . </a:t>
              </a:r>
              <a:r>
                <a:rPr lang="es-AR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AR" sz="1200" b="0" i="0">
                  <a:latin typeface="Cambria Math" panose="02040503050406030204" pitchFamily="18" charset="0"/>
                </a:rPr>
                <a:t>𝑠^2 )(𝑡−0,3)+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𝜎_𝑠^2  .  (𝑊 ̃_𝑡^𝑠−𝑊 ̃_0,3^𝑠 ) )</a:t>
              </a:r>
              <a:endParaRPr lang="es-AR" sz="1200"/>
            </a:p>
          </xdr:txBody>
        </xdr:sp>
      </mc:Fallback>
    </mc:AlternateContent>
    <xdr:clientData/>
  </xdr:oneCellAnchor>
  <xdr:oneCellAnchor>
    <xdr:from>
      <xdr:col>8</xdr:col>
      <xdr:colOff>57150</xdr:colOff>
      <xdr:row>33</xdr:row>
      <xdr:rowOff>133350</xdr:rowOff>
    </xdr:from>
    <xdr:ext cx="2705099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/>
            <xdr:cNvSpPr txBox="1"/>
          </xdr:nvSpPr>
          <xdr:spPr>
            <a:xfrm>
              <a:off x="5953125" y="4705350"/>
              <a:ext cx="2705099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s-AR" sz="1200" b="0" i="1">
                        <a:latin typeface="Cambria Math" panose="02040503050406030204" pitchFamily="18" charset="0"/>
                      </a:rPr>
                      <m:t>= </m:t>
                    </m:r>
                    <m:sSub>
                      <m:sSubPr>
                        <m:ctrlPr>
                          <a:rPr lang="es-AR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0,3</m:t>
                        </m:r>
                      </m:sub>
                    </m:sSub>
                    <m:r>
                      <a:rPr lang="es-AR" sz="1200" b="0" i="1">
                        <a:latin typeface="Cambria Math" panose="02040503050406030204" pitchFamily="18" charset="0"/>
                      </a:rPr>
                      <m:t>. </m:t>
                    </m:r>
                    <m:sSup>
                      <m:sSupPr>
                        <m:ctrlPr>
                          <a:rPr lang="es-AR" sz="12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d>
                          <m:dPr>
                            <m:ctrlPr>
                              <a:rPr lang="es-AR" sz="12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AR" sz="12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  <m:r>
                              <a:rPr lang="es-AR" sz="1200" b="0" i="1">
                                <a:latin typeface="Cambria Math" panose="02040503050406030204" pitchFamily="18" charset="0"/>
                              </a:rPr>
                              <m:t>−0,5 .  </m:t>
                            </m:r>
                            <m:sSubSup>
                              <m:sSubSupPr>
                                <m:ctrlP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𝜎</m:t>
                                </m:r>
                              </m:e>
                              <m:sub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</m:t>
                                </m:r>
                              </m:sub>
                              <m:sup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e>
                        </m:d>
                        <m:d>
                          <m:dPr>
                            <m:ctrlP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−0,3</m:t>
                            </m:r>
                          </m:e>
                        </m:d>
                        <m:r>
                          <a:rPr lang="es-AR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Sup>
                          <m:sSubSupPr>
                            <m:ctrlP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  <m:sup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  <m:r>
                          <a:rPr lang="es-AR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.  </m:t>
                        </m:r>
                        <m:d>
                          <m:dPr>
                            <m:ctrlP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Sup>
                              <m:sSubSupPr>
                                <m:ctrlP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acc>
                                  <m:accPr>
                                    <m:chr m:val="̃"/>
                                    <m:ctrlPr>
                                      <a:rPr lang="es-AR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accPr>
                                  <m:e>
                                    <m:r>
                                      <a:rPr lang="es-AR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𝑊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p>
                            </m:sSubSup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Sup>
                              <m:sSubSupPr>
                                <m:ctrlP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acc>
                                  <m:accPr>
                                    <m:chr m:val="̃"/>
                                    <m:ctrlPr>
                                      <a:rPr lang="es-AR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accPr>
                                  <m:e>
                                    <m:r>
                                      <a:rPr lang="es-AR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𝑊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0,3</m:t>
                                </m:r>
                              </m:sub>
                              <m:sup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p>
                            </m:sSubSup>
                          </m:e>
                        </m:d>
                      </m:sup>
                    </m:sSup>
                  </m:oMath>
                </m:oMathPara>
              </a14:m>
              <a:endParaRPr lang="es-AR" sz="1200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5953125" y="4705350"/>
              <a:ext cx="2705099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AR" sz="1200" b="0" i="0">
                  <a:latin typeface="Cambria Math" panose="02040503050406030204" pitchFamily="18" charset="0"/>
                </a:rPr>
                <a:t>𝑌_𝑡= 𝑌_0,3. 𝑒^((𝑟−0,5 .  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𝜎_𝑠^2 )(𝑡−0,3)+𝜎_𝑦^2  .  (𝑊 ̃_𝑡^𝑦−𝑊 ̃_0,3^𝑦 ) )</a:t>
              </a:r>
              <a:endParaRPr lang="es-AR" sz="1200"/>
            </a:p>
          </xdr:txBody>
        </xdr:sp>
      </mc:Fallback>
    </mc:AlternateContent>
    <xdr:clientData/>
  </xdr:oneCellAnchor>
  <xdr:oneCellAnchor>
    <xdr:from>
      <xdr:col>8</xdr:col>
      <xdr:colOff>104775</xdr:colOff>
      <xdr:row>35</xdr:row>
      <xdr:rowOff>180975</xdr:rowOff>
    </xdr:from>
    <xdr:ext cx="2694969" cy="1941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/>
            <xdr:cNvSpPr txBox="1"/>
          </xdr:nvSpPr>
          <xdr:spPr>
            <a:xfrm>
              <a:off x="6000750" y="5133975"/>
              <a:ext cx="2694969" cy="194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A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s-AR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A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s-AR" sz="1100" b="0" i="0">
                        <a:latin typeface="Cambria Math" panose="02040503050406030204" pitchFamily="18" charset="0"/>
                      </a:rPr>
                      <m:t>. </m:t>
                    </m:r>
                    <m:sSub>
                      <m:sSubPr>
                        <m:ctrlPr>
                          <a:rPr lang="es-A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𝔼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ℚ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𝑋</m:t>
                        </m:r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. </m:t>
                        </m:r>
                        <m:sSubSup>
                          <m:sSubSupPr>
                            <m:ctrlP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sub>
                          <m:sup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−1</m:t>
                            </m:r>
                          </m:sup>
                        </m:sSubSup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| </m:t>
                        </m:r>
                        <m:sSub>
                          <m:sSubPr>
                            <m:ctrlP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e>
                    </m:d>
                    <m:r>
                      <a:rPr lang="es-A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 </m:t>
                    </m:r>
                    <m:sSub>
                      <m:sSubPr>
                        <m:ctrlP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s-A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.</m:t>
                    </m:r>
                    <m:sSubSup>
                      <m:sSubSup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sub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sup>
                    </m:sSubSup>
                    <m:sSub>
                      <m:sSub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𝔼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ℚ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|</m:t>
                        </m:r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</m:d>
                  </m:oMath>
                </m:oMathPara>
              </a14:m>
              <a:endParaRPr lang="es-A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7" name="CuadroTexto 6"/>
            <xdr:cNvSpPr txBox="1"/>
          </xdr:nvSpPr>
          <xdr:spPr>
            <a:xfrm>
              <a:off x="6000750" y="5133975"/>
              <a:ext cx="2694969" cy="194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AR" sz="1100" b="0" i="0">
                  <a:latin typeface="Cambria Math" panose="02040503050406030204" pitchFamily="18" charset="0"/>
                </a:rPr>
                <a:t>𝑉_𝑡=𝐵_𝑡. 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𝔼_ℚ [𝑋 . 𝐵_𝑇^(−1)  | 𝐹_𝑡 ]= 𝐵_𝑡.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𝐵_𝑇^(−1) 𝔼_ℚ [𝑋|𝐹_𝑡  ]</a:t>
              </a:r>
              <a:endParaRPr lang="es-A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8</xdr:col>
      <xdr:colOff>28575</xdr:colOff>
      <xdr:row>13</xdr:row>
      <xdr:rowOff>161925</xdr:rowOff>
    </xdr:from>
    <xdr:ext cx="8461675" cy="6267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CuadroTexto 7"/>
            <xdr:cNvSpPr txBox="1"/>
          </xdr:nvSpPr>
          <xdr:spPr>
            <a:xfrm>
              <a:off x="5924550" y="2638425"/>
              <a:ext cx="8461675" cy="6267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A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s-AR" sz="11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A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0,3</m:t>
                        </m:r>
                      </m:sub>
                    </m:sSub>
                    <m:r>
                      <a:rPr lang="es-AR" sz="1100" b="0" i="1">
                        <a:latin typeface="Cambria Math" panose="02040503050406030204" pitchFamily="18" charset="0"/>
                      </a:rPr>
                      <m:t>= </m:t>
                    </m:r>
                    <m:d>
                      <m:dPr>
                        <m:begChr m:val="{"/>
                        <m:endChr m:val=""/>
                        <m:ctrlPr>
                          <a:rPr lang="es-A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s-AR" sz="1100" b="0" i="1">
                                <a:latin typeface="Cambria Math" panose="02040503050406030204" pitchFamily="18" charset="0"/>
                              </a:rPr>
                            </m:ctrlPr>
                          </m:eqArrPr>
                          <m:e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 − 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=0</m:t>
                            </m:r>
                          </m:e>
                          <m:e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0,3+</m:t>
                                </m:r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h</m:t>
                                </m:r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~ 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𝒩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(0;0,01)</m:t>
                            </m:r>
                          </m:e>
                          <m:e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0,3+2(0,01)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= 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0,3+2</m:t>
                                </m:r>
                                <m:d>
                                  <m:dPr>
                                    <m:ctrlPr>
                                      <a:rPr lang="es-AR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s-AR" sz="1100" b="0" i="1">
                                        <a:latin typeface="Cambria Math" panose="02040503050406030204" pitchFamily="18" charset="0"/>
                                      </a:rPr>
                                      <m:t>0,01</m:t>
                                    </m:r>
                                  </m:e>
                                </m:d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 − 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0,3+</m:t>
                                </m:r>
                                <m:d>
                                  <m:dPr>
                                    <m:ctrlPr>
                                      <a:rPr lang="es-AR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s-AR" sz="1100" b="0" i="1">
                                        <a:latin typeface="Cambria Math" panose="02040503050406030204" pitchFamily="18" charset="0"/>
                                      </a:rPr>
                                      <m:t>0,01</m:t>
                                    </m:r>
                                  </m:e>
                                </m:d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+ 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0,3+</m:t>
                                </m:r>
                                <m:d>
                                  <m:dPr>
                                    <m:ctrlPr>
                                      <a:rPr lang="es-AR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s-AR" sz="1100" b="0" i="1">
                                        <a:latin typeface="Cambria Math" panose="02040503050406030204" pitchFamily="18" charset="0"/>
                                      </a:rPr>
                                      <m:t>0,01</m:t>
                                    </m:r>
                                  </m:e>
                                </m:d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 −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~ 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𝒩</m:t>
                            </m:r>
                            <m:d>
                              <m:d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0;0,01</m:t>
                                </m:r>
                              </m:e>
                            </m:d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 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0,3+0,01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− 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0,3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(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𝑌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𝑎𝑠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í 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𝑠𝑢𝑐𝑒𝑠𝑖𝑣𝑎𝑚𝑒𝑛𝑡𝑒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)</m:t>
                            </m:r>
                          </m:e>
                        </m:eqArr>
                      </m:e>
                    </m:d>
                  </m:oMath>
                </m:oMathPara>
              </a14:m>
              <a:endParaRPr lang="es-AR" sz="1100"/>
            </a:p>
          </xdr:txBody>
        </xdr:sp>
      </mc:Choice>
      <mc:Fallback>
        <xdr:sp macro="" textlink="">
          <xdr:nvSpPr>
            <xdr:cNvPr id="8" name="CuadroTexto 7"/>
            <xdr:cNvSpPr txBox="1"/>
          </xdr:nvSpPr>
          <xdr:spPr>
            <a:xfrm>
              <a:off x="5924550" y="2638425"/>
              <a:ext cx="8461675" cy="6267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AR" sz="1100" b="0" i="0">
                  <a:latin typeface="Cambria Math" panose="02040503050406030204" pitchFamily="18" charset="0"/>
                </a:rPr>
                <a:t>𝑊_𝑡−𝑊_0,3= {█(𝑊_0,3  − 𝑊_0,3=0@𝑊_(0,3+ℎ )−𝑊_0,3  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~ 𝒩(0;0,01)@</a:t>
              </a:r>
              <a:r>
                <a:rPr lang="es-AR" sz="1100" b="0" i="0">
                  <a:latin typeface="Cambria Math" panose="02040503050406030204" pitchFamily="18" charset="0"/>
                </a:rPr>
                <a:t>𝑊_(0,3+2(0,01))−𝑊_0,3= 𝑊_(0,3+2(0,01) )  − 𝑊_(0,3+(0,01) )+ 𝑊_(0,3+(0,01) )  −𝑊_0,3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~ 𝒩(0;0,01)+ 𝑊_(0,3+0,01)  − 𝑊_0,3  (𝑌 𝑎𝑠í 𝑠𝑢𝑐𝑒𝑠𝑖𝑣𝑎𝑚𝑒𝑛𝑡𝑒))┤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8</xdr:col>
      <xdr:colOff>47625</xdr:colOff>
      <xdr:row>19</xdr:row>
      <xdr:rowOff>161925</xdr:rowOff>
    </xdr:from>
    <xdr:ext cx="2049022" cy="3143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/>
            <xdr:cNvSpPr txBox="1"/>
          </xdr:nvSpPr>
          <xdr:spPr>
            <a:xfrm>
              <a:off x="5943600" y="3209925"/>
              <a:ext cx="2049022" cy="3143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Δ</m:t>
                    </m:r>
                    <m:sSubSup>
                      <m:sSubSupPr>
                        <m:ctrlP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𝑦</m:t>
                        </m:r>
                      </m:sup>
                    </m:sSubSup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𝜌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. </m:t>
                    </m:r>
                    <m:r>
                      <m:rPr>
                        <m:sty m:val="p"/>
                      </m:rPr>
                      <a:rPr lang="el-GR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Δ</m:t>
                    </m:r>
                    <m:sSubSup>
                      <m:sSubSupPr>
                        <m:ctrlP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p>
                    </m:sSubSup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ad>
                      <m:radPr>
                        <m:degHide m:val="on"/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1−</m:t>
                        </m:r>
                        <m:sSup>
                          <m:sSup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𝜌</m:t>
                            </m:r>
                          </m:e>
                          <m:sup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rad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</m:t>
                    </m:r>
                    <m:r>
                      <m:rPr>
                        <m:sty m:val="p"/>
                      </m:rPr>
                      <a:rPr lang="el-GR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Δ</m:t>
                    </m:r>
                    <m:sSubSup>
                      <m:sSubSupPr>
                        <m:ctrlP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s-AR">
                <a:effectLst/>
              </a:endParaRPr>
            </a:p>
            <a:p>
              <a:endParaRPr lang="es-AR" sz="1100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5943600" y="3209925"/>
              <a:ext cx="2049022" cy="3143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𝑡^𝑦= 𝜌 . 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𝑡^1+√(1−𝜌^2 ).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𝑡^2</a:t>
              </a:r>
              <a:endParaRPr lang="es-AR">
                <a:effectLst/>
              </a:endParaRPr>
            </a:p>
            <a:p>
              <a:endParaRPr lang="es-AR" sz="1100"/>
            </a:p>
          </xdr:txBody>
        </xdr:sp>
      </mc:Fallback>
    </mc:AlternateContent>
    <xdr:clientData/>
  </xdr:oneCellAnchor>
  <xdr:oneCellAnchor>
    <xdr:from>
      <xdr:col>8</xdr:col>
      <xdr:colOff>85724</xdr:colOff>
      <xdr:row>38</xdr:row>
      <xdr:rowOff>28574</xdr:rowOff>
    </xdr:from>
    <xdr:ext cx="6143626" cy="12954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/>
            <xdr:cNvSpPr txBox="1"/>
          </xdr:nvSpPr>
          <xdr:spPr>
            <a:xfrm>
              <a:off x="5981699" y="7267574"/>
              <a:ext cx="6143626" cy="12954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Donde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𝑋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𝑀𝐴𝑋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∈[0;1]</m:t>
                        </m:r>
                      </m:sub>
                    </m:sSub>
                    <m:d>
                      <m:dPr>
                        <m:begChr m:val="{"/>
                        <m:endChr m:val="}"/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d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 </m:t>
                    </m:r>
                    <m:sSub>
                      <m:sSub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𝑀𝐼𝑁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∈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0;1</m:t>
                            </m:r>
                          </m:e>
                        </m:d>
                      </m:sub>
                    </m:sSub>
                    <m:d>
                      <m:dPr>
                        <m:begChr m:val="{"/>
                        <m:endChr m:val="}"/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𝑌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d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y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la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esperanza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en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este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caso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ser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á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representada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</m:oMath>
                  <m:oMath xmlns:m="http://schemas.openxmlformats.org/officeDocument/2006/math"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por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el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promedio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de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los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payoffs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simulados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</m:t>
                    </m:r>
                  </m:oMath>
                  <m:oMath xmlns:m="http://schemas.openxmlformats.org/officeDocument/2006/math"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Es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decir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sSub>
                      <m:sSub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𝔼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ℚ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| </m:t>
                        </m:r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d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=1</m:t>
                            </m:r>
                          </m:sub>
                          <m:sup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  <m:e>
                            <m:sSub>
                              <m:sSubPr>
                                <m:ctrlPr>
                                  <a:rPr lang="es-A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𝑋</m:t>
                                </m:r>
                              </m:e>
                              <m:sub>
                                <m:r>
                                  <a:rPr lang="es-A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</m:e>
                        </m:nary>
                      </m:num>
                      <m:den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den>
                    </m:f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donde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b>
                      <m:sSub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AR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AR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j</m:t>
                        </m:r>
                      </m:sub>
                    </m:sSub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es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el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payoff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de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la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j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−é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sima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simulaci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ó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n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y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m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es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la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cantidad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total</m:t>
                    </m:r>
                  </m:oMath>
                  <m:oMath xmlns:m="http://schemas.openxmlformats.org/officeDocument/2006/math"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de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simulaciones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En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este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caso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s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ó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lo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se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realiz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ó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una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simulaci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ó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n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i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</m:oMath>
                  <m:oMath xmlns:m="http://schemas.openxmlformats.org/officeDocument/2006/math">
                    <m:sSub>
                      <m:sSubPr>
                        <m:ctrlPr>
                          <a:rPr lang="es-A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 </m:t>
                    </m:r>
                    <m:sSub>
                      <m:sSub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𝔼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ℚ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. </m:t>
                        </m:r>
                        <m:sSubSup>
                          <m:sSubSup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𝐵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  <m:sup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</m:t>
                            </m:r>
                          </m:sup>
                        </m:sSub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| </m:t>
                        </m:r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d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p>
                      <m:sSup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sup>
                    </m:sSup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 </m:t>
                    </m:r>
                    <m:f>
                      <m:f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</m:num>
                      <m:den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den>
                    </m:f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. </m:t>
                    </m:r>
                    <m:r>
                      <m:rPr>
                        <m:nor/>
                      </m:rPr>
                      <a:rPr lang="es-AR" sz="11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En</m:t>
                    </m:r>
                    <m:r>
                      <m:rPr>
                        <m:nor/>
                      </m:rPr>
                      <a:rPr lang="es-AR" sz="1100" baseline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nor/>
                      </m:rPr>
                      <a:rPr lang="es-AR" sz="1100" baseline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particular</m:t>
                    </m:r>
                    <m:r>
                      <m:rPr>
                        <m:nor/>
                      </m:rPr>
                      <a:rPr lang="es-AR" sz="1100" baseline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, </m:t>
                    </m:r>
                    <m:sSub>
                      <m:sSubPr>
                        <m:ctrlPr>
                          <a:rPr lang="es-A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0,3</m:t>
                        </m:r>
                      </m:sub>
                    </m:sSub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p>
                      <m:sSup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−0,04.(1−0,3)</m:t>
                        </m:r>
                      </m:sup>
                    </m:sSup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 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𝑋</m:t>
                    </m:r>
                  </m:oMath>
                </m:oMathPara>
              </a14:m>
              <a:endParaRPr lang="es-AR">
                <a:effectLst/>
              </a:endParaRPr>
            </a:p>
            <a:p>
              <a:endParaRPr lang="es-A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5981699" y="7267574"/>
              <a:ext cx="6143626" cy="12954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Donde 𝑋= 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〖𝑀𝐴𝑋〗_(𝑡∈[0;1]) {𝑆_𝑡 }− 〖𝑀𝐼𝑁〗_(𝑡∈[0;1] ) {𝑌_𝑡 }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y la esperanza, en este caso, será representada </a:t>
              </a:r>
              <a:b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por el promedio de los payoffs simulados.</a:t>
              </a:r>
              <a:r>
                <a:rPr lang="es-AR" sz="1100" b="0" i="1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/>
              </a:r>
              <a:br>
                <a:rPr lang="es-AR" sz="1100" b="0" i="1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Es decir, 𝔼_ℚ [𝑋 | 𝐹_𝑡 ]=(∑_(𝑗=1)^𝑚▒𝑋_𝑗 )/𝑚  , donde X_j  es el payoff de  la j−ésima simulación y m es la cantidad total</a:t>
              </a:r>
              <a:b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de simulaciones. En este caso, sólo se realizó una simulación, i.e, </a:t>
              </a:r>
              <a:b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𝑉_𝑡=𝐵_𝑡. 𝔼_ℚ [𝑋 . 𝐵_𝑇^(−1)  | 𝐹_𝑡 ]= 𝑒^(−𝑟(𝑇−𝑡)).  𝑋/1  . "</a:t>
              </a:r>
              <a:r>
                <a:rPr lang="es-A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En</a:t>
              </a:r>
              <a:r>
                <a:rPr lang="es-AR" sz="110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particular, " 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𝑉_0,3= 𝑒^(−0,04.(1−0,3)). 𝑋</a:t>
              </a:r>
              <a:endParaRPr lang="es-AR">
                <a:effectLst/>
              </a:endParaRPr>
            </a:p>
            <a:p>
              <a:endParaRPr lang="es-A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8</xdr:col>
      <xdr:colOff>57149</xdr:colOff>
      <xdr:row>30</xdr:row>
      <xdr:rowOff>19050</xdr:rowOff>
    </xdr:from>
    <xdr:ext cx="6210301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/>
            <xdr:cNvSpPr txBox="1"/>
          </xdr:nvSpPr>
          <xdr:spPr>
            <a:xfrm>
              <a:off x="5953124" y="5162550"/>
              <a:ext cx="621030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s-AR" sz="1100" b="0" i="0">
                      <a:latin typeface="Cambria Math" panose="02040503050406030204" pitchFamily="18" charset="0"/>
                    </a:rPr>
                    <m:t>Luego</m:t>
                  </m:r>
                  <m:r>
                    <a:rPr lang="es-AR" sz="1100" b="0" i="0">
                      <a:latin typeface="Cambria Math" panose="02040503050406030204" pitchFamily="18" charset="0"/>
                    </a:rPr>
                    <m:t>, </m:t>
                  </m:r>
                  <m:r>
                    <m:rPr>
                      <m:sty m:val="p"/>
                    </m:rPr>
                    <a:rPr lang="es-AR" sz="1100" b="0" i="0">
                      <a:latin typeface="Cambria Math" panose="02040503050406030204" pitchFamily="18" charset="0"/>
                    </a:rPr>
                    <m:t>bajo</m:t>
                  </m:r>
                  <m:r>
                    <a:rPr lang="es-AR" sz="1100" b="0" i="0">
                      <a:latin typeface="Cambria Math" panose="02040503050406030204" pitchFamily="18" charset="0"/>
                    </a:rPr>
                    <m:t> </m:t>
                  </m:r>
                  <m:r>
                    <m:rPr>
                      <m:sty m:val="p"/>
                    </m:rPr>
                    <a:rPr lang="es-AR" sz="1100" b="0" i="0">
                      <a:latin typeface="Cambria Math" panose="02040503050406030204" pitchFamily="18" charset="0"/>
                    </a:rPr>
                    <m:t>supuesto</m:t>
                  </m:r>
                  <m:r>
                    <a:rPr lang="es-AR" sz="1100" b="0" i="0">
                      <a:latin typeface="Cambria Math" panose="02040503050406030204" pitchFamily="18" charset="0"/>
                    </a:rPr>
                    <m:t> </m:t>
                  </m:r>
                  <m:r>
                    <m:rPr>
                      <m:sty m:val="p"/>
                    </m:rPr>
                    <a:rPr lang="es-AR" sz="1100" b="0" i="0">
                      <a:latin typeface="Cambria Math" panose="02040503050406030204" pitchFamily="18" charset="0"/>
                    </a:rPr>
                    <m:t>de</m:t>
                  </m:r>
                  <m:r>
                    <a:rPr lang="es-AR" sz="1100" b="0" i="0">
                      <a:latin typeface="Cambria Math" panose="02040503050406030204" pitchFamily="18" charset="0"/>
                    </a:rPr>
                    <m:t> </m:t>
                  </m:r>
                  <m:r>
                    <m:rPr>
                      <m:sty m:val="p"/>
                    </m:rPr>
                    <a:rPr lang="es-AR" sz="1100" b="0" i="0">
                      <a:latin typeface="Cambria Math" panose="02040503050406030204" pitchFamily="18" charset="0"/>
                    </a:rPr>
                    <m:t>probabilidades</m:t>
                  </m:r>
                  <m:r>
                    <a:rPr lang="es-AR" sz="1100" b="0" i="0">
                      <a:latin typeface="Cambria Math" panose="02040503050406030204" pitchFamily="18" charset="0"/>
                    </a:rPr>
                    <m:t> </m:t>
                  </m:r>
                  <m:r>
                    <a:rPr lang="es-AR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ℚ</m:t>
                  </m:r>
                  <m:r>
                    <a:rPr lang="es-AR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, </m:t>
                  </m:r>
                  <m:r>
                    <m:rPr>
                      <m:sty m:val="p"/>
                    </m:rPr>
                    <a:rPr lang="el-GR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Δ</m:t>
                  </m:r>
                  <m:sSubSup>
                    <m:sSubSupPr>
                      <m:ctrlPr>
                        <a:rPr lang="el-G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SupPr>
                    <m:e>
                      <m:acc>
                        <m:accPr>
                          <m:chr m:val="̃"/>
                          <m:ctrlPr>
                            <a:rPr lang="el-G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es-A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𝑊</m:t>
                          </m:r>
                        </m:e>
                      </m:acc>
                    </m:e>
                    <m:sub>
                      <m:r>
                        <a:rPr lang="es-A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𝑡</m:t>
                      </m:r>
                    </m:sub>
                    <m:sup>
                      <m:r>
                        <a:rPr lang="es-A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</m:t>
                      </m:r>
                    </m:sup>
                  </m:sSubSup>
                  <m:r>
                    <a:rPr lang="es-A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~ </m:t>
                  </m:r>
                  <m:r>
                    <a:rPr lang="es-A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𝒩</m:t>
                  </m:r>
                  <m:r>
                    <a:rPr lang="es-A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(0;</m:t>
                  </m:r>
                  <m:sSup>
                    <m:sSupPr>
                      <m:ctrlP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𝜎</m:t>
                      </m:r>
                    </m:e>
                    <m:sup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  <m:r>
                    <a:rPr lang="es-A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=0,01)</m:t>
                  </m:r>
                </m:oMath>
              </a14:m>
              <a:r>
                <a:rPr lang="es-AR" sz="1100"/>
                <a:t> y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Δ</m:t>
                  </m:r>
                  <m:sSubSup>
                    <m:sSubSupPr>
                      <m:ctrlPr>
                        <a:rPr lang="el-G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SupPr>
                    <m:e>
                      <m:acc>
                        <m:accPr>
                          <m:chr m:val="̃"/>
                          <m:ctrlPr>
                            <a:rPr lang="el-GR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lang="es-AR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𝑊</m:t>
                          </m:r>
                        </m:e>
                      </m:acc>
                    </m:e>
                    <m:sub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  <m:sup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bSup>
                  <m:r>
                    <a:rPr lang="es-A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~ </m:t>
                  </m:r>
                  <m:r>
                    <a:rPr lang="es-A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𝒩</m:t>
                  </m:r>
                  <m:d>
                    <m:dPr>
                      <m:ctrlP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0;</m:t>
                      </m:r>
                      <m:sSup>
                        <m:sSupPr>
                          <m:ctrlPr>
                            <a:rPr lang="es-AR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s-AR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𝜎</m:t>
                          </m:r>
                        </m:e>
                        <m:sup>
                          <m:r>
                            <a:rPr lang="es-AR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=0,01</m:t>
                      </m:r>
                    </m:e>
                  </m:d>
                </m:oMath>
              </a14:m>
              <a:r>
                <a:rPr lang="es-AR" sz="1100"/>
                <a:t>, entonces</a:t>
              </a:r>
            </a:p>
          </xdr:txBody>
        </xdr:sp>
      </mc:Choice>
      <mc:Fallback xmlns="">
        <xdr:sp macro="" textlink="">
          <xdr:nvSpPr>
            <xdr:cNvPr id="11" name="CuadroTexto 10"/>
            <xdr:cNvSpPr txBox="1"/>
          </xdr:nvSpPr>
          <xdr:spPr>
            <a:xfrm>
              <a:off x="5953124" y="5162550"/>
              <a:ext cx="621030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AR" sz="1100" b="0" i="0">
                  <a:latin typeface="Cambria Math" panose="02040503050406030204" pitchFamily="18" charset="0"/>
                </a:rPr>
                <a:t>Luego, bajo supuesto de probabilidades 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ℚ, 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𝑊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 ̃_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𝑡^1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~ 𝒩(0;𝜎^2=0,01)</a:t>
              </a:r>
              <a:r>
                <a:rPr lang="es-AR" sz="1100"/>
                <a:t> y 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 ̃_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𝑡^2~ 𝒩(0;𝜎^2=0,01)</a:t>
              </a:r>
              <a:r>
                <a:rPr lang="es-AR" sz="1100"/>
                <a:t>, entonces</a:t>
              </a:r>
            </a:p>
          </xdr:txBody>
        </xdr:sp>
      </mc:Fallback>
    </mc:AlternateContent>
    <xdr:clientData/>
  </xdr:oneCellAnchor>
  <xdr:oneCellAnchor>
    <xdr:from>
      <xdr:col>8</xdr:col>
      <xdr:colOff>95250</xdr:colOff>
      <xdr:row>21</xdr:row>
      <xdr:rowOff>171450</xdr:rowOff>
    </xdr:from>
    <xdr:ext cx="1867755" cy="1971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/>
            <xdr:cNvSpPr txBox="1"/>
          </xdr:nvSpPr>
          <xdr:spPr>
            <a:xfrm>
              <a:off x="5991225" y="3600450"/>
              <a:ext cx="1867755" cy="1971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A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s-AR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A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0,3</m:t>
                        </m:r>
                      </m:sub>
                    </m:sSub>
                    <m:r>
                      <a:rPr lang="es-AR" sz="1100" b="0" i="1">
                        <a:latin typeface="Cambria Math" panose="02040503050406030204" pitchFamily="18" charset="0"/>
                      </a:rPr>
                      <m:t> . </m:t>
                    </m:r>
                    <m:sSup>
                      <m:sSupPr>
                        <m:ctrlPr>
                          <a:rPr lang="es-A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sSub>
                          <m:sSubPr>
                            <m:ctrlPr>
                              <a:rPr lang="es-A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𝜇</m:t>
                            </m:r>
                          </m:e>
                          <m: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  <m:d>
                          <m:dPr>
                            <m:ctrlP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−0,3</m:t>
                            </m:r>
                          </m:e>
                        </m:d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0,3</m:t>
                            </m:r>
                          </m:sub>
                        </m:sSub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2" name="CuadroTexto 11"/>
            <xdr:cNvSpPr txBox="1"/>
          </xdr:nvSpPr>
          <xdr:spPr>
            <a:xfrm>
              <a:off x="5991225" y="3600450"/>
              <a:ext cx="1867755" cy="1971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AR" sz="1100" b="0" i="0">
                  <a:latin typeface="Cambria Math" panose="02040503050406030204" pitchFamily="18" charset="0"/>
                </a:rPr>
                <a:t>𝑆_𝑡=𝑆_0,3  . 𝑒^(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AR" sz="1100" b="0" i="0">
                  <a:latin typeface="Cambria Math" panose="02040503050406030204" pitchFamily="18" charset="0"/>
                </a:rPr>
                <a:t>𝑠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(𝑡−0,3)+𝜎_𝑠 (𝑊_𝑡−𝑊_0,3))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8</xdr:col>
      <xdr:colOff>85725</xdr:colOff>
      <xdr:row>23</xdr:row>
      <xdr:rowOff>180975</xdr:rowOff>
    </xdr:from>
    <xdr:ext cx="1862497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/>
            <xdr:cNvSpPr txBox="1"/>
          </xdr:nvSpPr>
          <xdr:spPr>
            <a:xfrm>
              <a:off x="5981700" y="3990975"/>
              <a:ext cx="1862497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A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𝑌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𝑌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0,3</m:t>
                        </m:r>
                      </m:sub>
                    </m:sSub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. </m:t>
                    </m:r>
                    <m:sSup>
                      <m:sSup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𝜇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  <m:d>
                          <m:d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−0,3</m:t>
                            </m:r>
                          </m:e>
                        </m:d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𝑊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𝑊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0,3</m:t>
                            </m:r>
                          </m:sub>
                        </m:s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3" name="CuadroTexto 12"/>
            <xdr:cNvSpPr txBox="1"/>
          </xdr:nvSpPr>
          <xdr:spPr>
            <a:xfrm>
              <a:off x="5981700" y="3990975"/>
              <a:ext cx="1862497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𝑌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_𝑡=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𝑌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_0,3  . 𝑒^(𝜇_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(𝑡−0,3)+𝜎_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(𝑊_𝑡−𝑊_0,3))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8</xdr:col>
      <xdr:colOff>76200</xdr:colOff>
      <xdr:row>26</xdr:row>
      <xdr:rowOff>0</xdr:rowOff>
    </xdr:from>
    <xdr:ext cx="994696" cy="1800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/>
            <xdr:cNvSpPr txBox="1"/>
          </xdr:nvSpPr>
          <xdr:spPr>
            <a:xfrm>
              <a:off x="5972175" y="4381500"/>
              <a:ext cx="994696" cy="1800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s-AR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acc>
                          <m:accPr>
                            <m:chr m:val="̃"/>
                            <m:ctrlPr>
                              <a:rPr lang="es-AR" sz="110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</m:acc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p>
                    </m:sSubSup>
                    <m:r>
                      <a:rPr lang="es-AR" sz="1100" b="0" i="1">
                        <a:latin typeface="Cambria Math" panose="02040503050406030204" pitchFamily="18" charset="0"/>
                      </a:rPr>
                      <m:t>= </m:t>
                    </m:r>
                    <m:sSubSup>
                      <m:sSubSupPr>
                        <m:ctrlP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p>
                    </m:sSubSup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 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𝜃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𝑡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5972175" y="4381500"/>
              <a:ext cx="994696" cy="1800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AR" sz="1100" b="0" i="0">
                  <a:latin typeface="Cambria Math" panose="02040503050406030204" pitchFamily="18" charset="0"/>
                </a:rPr>
                <a:t>𝑊 ̃_𝑡^1= 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𝑡^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1+ 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𝜃𝑡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8</xdr:col>
      <xdr:colOff>76200</xdr:colOff>
      <xdr:row>28</xdr:row>
      <xdr:rowOff>0</xdr:rowOff>
    </xdr:from>
    <xdr:ext cx="1000722" cy="1800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/>
            <xdr:cNvSpPr txBox="1"/>
          </xdr:nvSpPr>
          <xdr:spPr>
            <a:xfrm>
              <a:off x="5972175" y="4762500"/>
              <a:ext cx="1000722" cy="1800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s-A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acc>
                          <m:accPr>
                            <m:chr m:val="̃"/>
                            <m:ctrlPr>
                              <a:rPr lang="es-A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𝑊</m:t>
                            </m:r>
                          </m:e>
                        </m:acc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bSup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Sup>
                      <m:sSubSupPr>
                        <m:ctrlP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bSup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 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5972175" y="4762500"/>
              <a:ext cx="1000722" cy="1800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𝑊 ̃_𝑡^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 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𝑡^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 𝜃𝑡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8</xdr:col>
      <xdr:colOff>28575</xdr:colOff>
      <xdr:row>12</xdr:row>
      <xdr:rowOff>114300</xdr:rowOff>
    </xdr:from>
    <xdr:ext cx="23973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/>
            <xdr:cNvSpPr txBox="1"/>
          </xdr:nvSpPr>
          <xdr:spPr>
            <a:xfrm>
              <a:off x="5924550" y="2400300"/>
              <a:ext cx="23973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AR" sz="1100" b="0" i="0">
                        <a:latin typeface="Cambria Math" panose="02040503050406030204" pitchFamily="18" charset="0"/>
                      </a:rPr>
                      <m:t>Luego</m:t>
                    </m:r>
                    <m:r>
                      <a:rPr lang="es-AR" sz="1100" b="0" i="0">
                        <a:latin typeface="Cambria Math" panose="02040503050406030204" pitchFamily="18" charset="0"/>
                      </a:rPr>
                      <m:t>, </m:t>
                    </m:r>
                    <m:r>
                      <m:rPr>
                        <m:sty m:val="p"/>
                      </m:rPr>
                      <a:rPr lang="es-AR" sz="1100" b="0" i="0">
                        <a:latin typeface="Cambria Math" panose="02040503050406030204" pitchFamily="18" charset="0"/>
                      </a:rPr>
                      <m:t>para</m:t>
                    </m:r>
                    <m:r>
                      <a:rPr lang="es-AR" sz="1100" b="0" i="0">
                        <a:latin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latin typeface="Cambria Math" panose="02040503050406030204" pitchFamily="18" charset="0"/>
                      </a:rPr>
                      <m:t>ambos</m:t>
                    </m:r>
                    <m:r>
                      <a:rPr lang="es-AR" sz="1100" b="0" i="0">
                        <a:latin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latin typeface="Cambria Math" panose="02040503050406030204" pitchFamily="18" charset="0"/>
                      </a:rPr>
                      <m:t>procesos</m:t>
                    </m:r>
                    <m:r>
                      <a:rPr lang="es-AR" sz="1100" b="0" i="0">
                        <a:latin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latin typeface="Cambria Math" panose="02040503050406030204" pitchFamily="18" charset="0"/>
                      </a:rPr>
                      <m:t>se</m:t>
                    </m:r>
                    <m:r>
                      <a:rPr lang="es-AR" sz="1100" b="0" i="0">
                        <a:latin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latin typeface="Cambria Math" panose="02040503050406030204" pitchFamily="18" charset="0"/>
                      </a:rPr>
                      <m:t>cumple</m:t>
                    </m:r>
                    <m:r>
                      <a:rPr lang="es-AR" sz="1100" b="0" i="0">
                        <a:latin typeface="Cambria Math" panose="02040503050406030204" pitchFamily="18" charset="0"/>
                      </a:rPr>
                      <m:t>:</m:t>
                    </m:r>
                  </m:oMath>
                </m:oMathPara>
              </a14:m>
              <a:endParaRPr lang="es-AR" sz="1100" i="0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5924550" y="2400300"/>
              <a:ext cx="23973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AR" sz="1100" b="0" i="0">
                  <a:latin typeface="Cambria Math" panose="02040503050406030204" pitchFamily="18" charset="0"/>
                </a:rPr>
                <a:t>Luego, para ambos procesos se cumple:</a:t>
              </a:r>
              <a:endParaRPr lang="es-AR" sz="1100" i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514350</xdr:colOff>
      <xdr:row>14</xdr:row>
      <xdr:rowOff>85724</xdr:rowOff>
    </xdr:from>
    <xdr:to>
      <xdr:col>13</xdr:col>
      <xdr:colOff>381000</xdr:colOff>
      <xdr:row>17</xdr:row>
      <xdr:rowOff>133349</xdr:rowOff>
    </xdr:to>
    <xdr:sp macro="" textlink="">
      <xdr:nvSpPr>
        <xdr:cNvPr id="12" name="Proceso 11"/>
        <xdr:cNvSpPr/>
      </xdr:nvSpPr>
      <xdr:spPr>
        <a:xfrm>
          <a:off x="8343900" y="2752724"/>
          <a:ext cx="1552575" cy="619125"/>
        </a:xfrm>
        <a:prstGeom prst="flowChartProcess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>
              <a:solidFill>
                <a:sysClr val="windowText" lastClr="000000"/>
              </a:solidFill>
            </a:rPr>
            <a:t>(El</a:t>
          </a:r>
          <a:r>
            <a:rPr lang="es-AR" sz="1100" baseline="0">
              <a:solidFill>
                <a:sysClr val="windowText" lastClr="000000"/>
              </a:solidFill>
            </a:rPr>
            <a:t> payoff de la</a:t>
          </a:r>
        </a:p>
        <a:p>
          <a:pPr algn="ctr"/>
          <a:r>
            <a:rPr lang="es-AR" sz="1100" baseline="0">
              <a:solidFill>
                <a:sysClr val="windowText" lastClr="000000"/>
              </a:solidFill>
            </a:rPr>
            <a:t>j-ésima simulación se muestra a la izquierda)</a:t>
          </a:r>
          <a:endParaRPr lang="es-A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495300</xdr:colOff>
      <xdr:row>32</xdr:row>
      <xdr:rowOff>95250</xdr:rowOff>
    </xdr:from>
    <xdr:to>
      <xdr:col>13</xdr:col>
      <xdr:colOff>457200</xdr:colOff>
      <xdr:row>37</xdr:row>
      <xdr:rowOff>180974</xdr:rowOff>
    </xdr:to>
    <xdr:sp macro="" textlink="">
      <xdr:nvSpPr>
        <xdr:cNvPr id="13" name="Proceso 12"/>
        <xdr:cNvSpPr/>
      </xdr:nvSpPr>
      <xdr:spPr>
        <a:xfrm>
          <a:off x="8324850" y="6191250"/>
          <a:ext cx="1647825" cy="1038224"/>
        </a:xfrm>
        <a:prstGeom prst="flowChartProcess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>
              <a:solidFill>
                <a:sysClr val="windowText" lastClr="000000"/>
              </a:solidFill>
            </a:rPr>
            <a:t>(Los</a:t>
          </a:r>
          <a:r>
            <a:rPr lang="es-AR" sz="1100" baseline="0">
              <a:solidFill>
                <a:sysClr val="windowText" lastClr="000000"/>
              </a:solidFill>
            </a:rPr>
            <a:t> payoff de las simulaciones de este algoritmo no se muestran por cuestiones computacionales)</a:t>
          </a:r>
          <a:endParaRPr lang="es-A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466725</xdr:colOff>
      <xdr:row>22</xdr:row>
      <xdr:rowOff>104774</xdr:rowOff>
    </xdr:from>
    <xdr:to>
      <xdr:col>13</xdr:col>
      <xdr:colOff>457200</xdr:colOff>
      <xdr:row>27</xdr:row>
      <xdr:rowOff>19049</xdr:rowOff>
    </xdr:to>
    <xdr:sp macro="" textlink="">
      <xdr:nvSpPr>
        <xdr:cNvPr id="14" name="Rectángulo 13"/>
        <xdr:cNvSpPr/>
      </xdr:nvSpPr>
      <xdr:spPr>
        <a:xfrm>
          <a:off x="8296275" y="4295774"/>
          <a:ext cx="1676400" cy="866775"/>
        </a:xfrm>
        <a:prstGeom prst="rect">
          <a:avLst/>
        </a:prstGeom>
        <a:solidFill>
          <a:schemeClr val="bg1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>
              <a:solidFill>
                <a:srgbClr val="FF0000"/>
              </a:solidFill>
            </a:rPr>
            <a:t>ATENCIÓN: El</a:t>
          </a:r>
          <a:r>
            <a:rPr lang="es-AR" sz="1100" b="1" baseline="0">
              <a:solidFill>
                <a:srgbClr val="FF0000"/>
              </a:solidFill>
            </a:rPr>
            <a:t> siguiente algoritmo puede tardar 10 segundos o más.</a:t>
          </a:r>
        </a:p>
        <a:p>
          <a:pPr algn="ctr"/>
          <a:r>
            <a:rPr lang="es-AR" sz="1100" b="1" baseline="0">
              <a:solidFill>
                <a:srgbClr val="FF0000"/>
              </a:solidFill>
            </a:rPr>
            <a:t>↓</a:t>
          </a:r>
          <a:endParaRPr lang="es-AR" sz="1100" b="1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9</xdr:row>
          <xdr:rowOff>19050</xdr:rowOff>
        </xdr:from>
        <xdr:to>
          <xdr:col>13</xdr:col>
          <xdr:colOff>333375</xdr:colOff>
          <xdr:row>11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VALUAR DERIVADO 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(100 simulaciones)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27</xdr:row>
          <xdr:rowOff>85725</xdr:rowOff>
        </xdr:from>
        <xdr:to>
          <xdr:col>13</xdr:col>
          <xdr:colOff>476250</xdr:colOff>
          <xdr:row>29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VALUAR DERIVADO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(500 simulaciones)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352424</xdr:colOff>
      <xdr:row>4</xdr:row>
      <xdr:rowOff>76200</xdr:rowOff>
    </xdr:from>
    <xdr:to>
      <xdr:col>13</xdr:col>
      <xdr:colOff>466725</xdr:colOff>
      <xdr:row>8</xdr:row>
      <xdr:rowOff>104776</xdr:rowOff>
    </xdr:to>
    <xdr:sp macro="" textlink="">
      <xdr:nvSpPr>
        <xdr:cNvPr id="17" name="Rectángulo 16"/>
        <xdr:cNvSpPr/>
      </xdr:nvSpPr>
      <xdr:spPr>
        <a:xfrm>
          <a:off x="8181974" y="838200"/>
          <a:ext cx="1800226" cy="790576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 b="1">
              <a:solidFill>
                <a:sysClr val="windowText" lastClr="000000"/>
              </a:solidFill>
            </a:rPr>
            <a:t>Haga click en</a:t>
          </a:r>
          <a:r>
            <a:rPr lang="es-AR" sz="1100" b="1" baseline="0">
              <a:solidFill>
                <a:sysClr val="windowText" lastClr="000000"/>
              </a:solidFill>
            </a:rPr>
            <a:t> el siguiente botón </a:t>
          </a:r>
          <a:r>
            <a:rPr lang="es-AR" sz="1100" b="1">
              <a:solidFill>
                <a:sysClr val="windowText" lastClr="000000"/>
              </a:solidFill>
            </a:rPr>
            <a:t>para valuar el derivado</a:t>
          </a:r>
          <a:r>
            <a:rPr lang="es-AR" sz="1100" b="1" baseline="0">
              <a:solidFill>
                <a:sysClr val="windowText" lastClr="000000"/>
              </a:solidFill>
            </a:rPr>
            <a:t> </a:t>
          </a:r>
        </a:p>
        <a:p>
          <a:pPr algn="ctr"/>
          <a:r>
            <a:rPr lang="es-AR" sz="1100" b="1" baseline="0">
              <a:solidFill>
                <a:sysClr val="windowText" lastClr="000000"/>
              </a:solidFill>
            </a:rPr>
            <a:t>↓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14</xdr:col>
      <xdr:colOff>19050</xdr:colOff>
      <xdr:row>6</xdr:row>
      <xdr:rowOff>9525</xdr:rowOff>
    </xdr:from>
    <xdr:ext cx="1749582" cy="1765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/>
            <xdr:cNvSpPr txBox="1"/>
          </xdr:nvSpPr>
          <xdr:spPr>
            <a:xfrm>
              <a:off x="5915025" y="1724025"/>
              <a:ext cx="1749582" cy="1765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Δ</m:t>
                    </m:r>
                    <m:sSubSup>
                      <m:sSubSupPr>
                        <m:ctrlPr>
                          <a:rPr lang="el-G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p>
                    </m:sSubSup>
                    <m:r>
                      <a:rPr lang="es-A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~ </m:t>
                    </m:r>
                    <m:r>
                      <a:rPr lang="es-A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𝒩</m:t>
                    </m:r>
                    <m:d>
                      <m:dPr>
                        <m:ctrlP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=0;</m:t>
                        </m:r>
                        <m:sSup>
                          <m:sSupPr>
                            <m:ctrlP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p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=0,01</m:t>
                        </m:r>
                      </m:e>
                    </m:d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53" name="CuadroTexto 52"/>
            <xdr:cNvSpPr txBox="1"/>
          </xdr:nvSpPr>
          <xdr:spPr>
            <a:xfrm>
              <a:off x="5915025" y="1724025"/>
              <a:ext cx="1749582" cy="1765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l-G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𝑊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𝑡^1  ~ 𝒩(𝜇=0;𝜎^2=0,01)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14</xdr:col>
      <xdr:colOff>9525</xdr:colOff>
      <xdr:row>8</xdr:row>
      <xdr:rowOff>9525</xdr:rowOff>
    </xdr:from>
    <xdr:ext cx="1794722" cy="1983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/>
            <xdr:cNvSpPr txBox="1"/>
          </xdr:nvSpPr>
          <xdr:spPr>
            <a:xfrm>
              <a:off x="5905500" y="2105025"/>
              <a:ext cx="1794722" cy="1983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Δ</m:t>
                    </m:r>
                    <m:sSubSup>
                      <m:sSubSupPr>
                        <m:ctrlP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bSup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~ 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𝒩</m:t>
                    </m:r>
                    <m:d>
                      <m:d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𝜇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=0;</m:t>
                        </m:r>
                        <m:sSup>
                          <m:sSup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p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=0,01</m:t>
                        </m:r>
                      </m:e>
                    </m:d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54" name="CuadroTexto 53"/>
            <xdr:cNvSpPr txBox="1"/>
          </xdr:nvSpPr>
          <xdr:spPr>
            <a:xfrm>
              <a:off x="5905500" y="2105025"/>
              <a:ext cx="1794722" cy="1983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𝑡^2  ~ 𝒩(𝜇=0;𝜎^2=0,01)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14</xdr:col>
      <xdr:colOff>85725</xdr:colOff>
      <xdr:row>15</xdr:row>
      <xdr:rowOff>0</xdr:rowOff>
    </xdr:from>
    <xdr:ext cx="742191" cy="1765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/>
            <xdr:cNvSpPr txBox="1"/>
          </xdr:nvSpPr>
          <xdr:spPr>
            <a:xfrm>
              <a:off x="5981700" y="3429000"/>
              <a:ext cx="742191" cy="1765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Δ</m:t>
                  </m:r>
                  <m:sSubSup>
                    <m:sSubSupPr>
                      <m:ctrlPr>
                        <a:rPr lang="el-GR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SupPr>
                    <m:e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𝑊</m:t>
                      </m:r>
                    </m:e>
                    <m:sub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  <m:sup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𝑠</m:t>
                      </m:r>
                    </m:sup>
                  </m:sSubSup>
                  <m:r>
                    <a:rPr lang="es-A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s-AR" sz="1100"/>
                <a:t>=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Δ</m:t>
                  </m:r>
                  <m:sSubSup>
                    <m:sSubSupPr>
                      <m:ctrlPr>
                        <a:rPr lang="el-GR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SupPr>
                    <m:e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𝑊</m:t>
                      </m:r>
                    </m:e>
                    <m:sub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  <m:sup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p>
                  </m:sSubSup>
                </m:oMath>
              </a14:m>
              <a:r>
                <a:rPr lang="es-AR" sz="1100"/>
                <a:t> </a:t>
              </a:r>
            </a:p>
          </xdr:txBody>
        </xdr:sp>
      </mc:Choice>
      <mc:Fallback xmlns="">
        <xdr:sp macro="" textlink="">
          <xdr:nvSpPr>
            <xdr:cNvPr id="55" name="CuadroTexto 54"/>
            <xdr:cNvSpPr txBox="1"/>
          </xdr:nvSpPr>
          <xdr:spPr>
            <a:xfrm>
              <a:off x="5981700" y="3429000"/>
              <a:ext cx="742191" cy="1765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𝑡^𝑠  </a:t>
              </a:r>
              <a:r>
                <a:rPr lang="es-AR" sz="1100"/>
                <a:t>= 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𝑡^1</a:t>
              </a:r>
              <a:r>
                <a:rPr lang="es-AR" sz="1100"/>
                <a:t> </a:t>
              </a:r>
            </a:p>
          </xdr:txBody>
        </xdr:sp>
      </mc:Fallback>
    </mc:AlternateContent>
    <xdr:clientData/>
  </xdr:oneCellAnchor>
  <xdr:oneCellAnchor>
    <xdr:from>
      <xdr:col>13</xdr:col>
      <xdr:colOff>847724</xdr:colOff>
      <xdr:row>28</xdr:row>
      <xdr:rowOff>152401</xdr:rowOff>
    </xdr:from>
    <xdr:ext cx="2952751" cy="3143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/>
            <xdr:cNvSpPr txBox="1"/>
          </xdr:nvSpPr>
          <xdr:spPr>
            <a:xfrm>
              <a:off x="10363199" y="5486401"/>
              <a:ext cx="2952751" cy="3143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s-AR" sz="12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AR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0,3</m:t>
                        </m:r>
                      </m:sub>
                    </m:sSub>
                    <m:r>
                      <a:rPr lang="es-AR" sz="1200" b="0" i="1">
                        <a:latin typeface="Cambria Math" panose="02040503050406030204" pitchFamily="18" charset="0"/>
                      </a:rPr>
                      <m:t>.</m:t>
                    </m:r>
                    <m:sSup>
                      <m:sSupPr>
                        <m:ctrlPr>
                          <a:rPr lang="es-AR" sz="12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d>
                          <m:dPr>
                            <m:ctrlPr>
                              <a:rPr lang="es-AR" sz="12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AR" sz="12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  <m:r>
                              <a:rPr lang="es-AR" sz="1200" b="0" i="1">
                                <a:latin typeface="Cambria Math" panose="02040503050406030204" pitchFamily="18" charset="0"/>
                              </a:rPr>
                              <m:t>−0,5 . </m:t>
                            </m:r>
                            <m:sSubSup>
                              <m:sSubSupPr>
                                <m:ctrlPr>
                                  <a:rPr lang="es-AR" sz="12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s-AR" sz="12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𝜎</m:t>
                                </m:r>
                              </m:e>
                              <m:sub>
                                <m:r>
                                  <a:rPr lang="es-AR" sz="12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sub>
                              <m:sup>
                                <m:r>
                                  <a:rPr lang="es-AR" sz="12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d>
                        <m:d>
                          <m:dPr>
                            <m:ctrlPr>
                              <a:rPr lang="es-AR" sz="12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AR" sz="12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AR" sz="1200" b="0" i="1">
                                <a:latin typeface="Cambria Math" panose="02040503050406030204" pitchFamily="18" charset="0"/>
                              </a:rPr>
                              <m:t>−0,3</m:t>
                            </m:r>
                          </m:e>
                        </m:d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+</m:t>
                        </m:r>
                        <m:sSubSup>
                          <m:sSubSupPr>
                            <m:ctrlP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sub>
                          <m:sup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  <m:r>
                          <a:rPr lang="es-AR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.  </m:t>
                        </m:r>
                        <m:d>
                          <m:dPr>
                            <m:ctrlP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Sup>
                              <m:sSubSupPr>
                                <m:ctrlP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acc>
                                  <m:accPr>
                                    <m:chr m:val="̃"/>
                                    <m:ctrlPr>
                                      <a:rPr lang="es-AR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accPr>
                                  <m:e>
                                    <m:r>
                                      <a:rPr lang="es-AR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𝑊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</m:t>
                                </m:r>
                              </m:sup>
                            </m:sSubSup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Sup>
                              <m:sSubSupPr>
                                <m:ctrlP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acc>
                                  <m:accPr>
                                    <m:chr m:val="̃"/>
                                    <m:ctrlPr>
                                      <a:rPr lang="es-AR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accPr>
                                  <m:e>
                                    <m:r>
                                      <a:rPr lang="es-AR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𝑊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0,3</m:t>
                                </m:r>
                              </m:sub>
                              <m:sup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</m:t>
                                </m:r>
                              </m:sup>
                            </m:sSubSup>
                          </m:e>
                        </m:d>
                      </m:sup>
                    </m:sSup>
                  </m:oMath>
                </m:oMathPara>
              </a14:m>
              <a:endParaRPr lang="es-AR" sz="1200"/>
            </a:p>
          </xdr:txBody>
        </xdr:sp>
      </mc:Choice>
      <mc:Fallback xmlns="">
        <xdr:sp macro="" textlink="">
          <xdr:nvSpPr>
            <xdr:cNvPr id="56" name="CuadroTexto 55"/>
            <xdr:cNvSpPr txBox="1"/>
          </xdr:nvSpPr>
          <xdr:spPr>
            <a:xfrm>
              <a:off x="10363199" y="5486401"/>
              <a:ext cx="2952751" cy="3143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AR" sz="1200" b="0" i="0">
                  <a:latin typeface="Cambria Math" panose="02040503050406030204" pitchFamily="18" charset="0"/>
                </a:rPr>
                <a:t>𝑆_𝑡=𝑆_0,3.𝑒^((𝑟−0,5 . </a:t>
              </a:r>
              <a:r>
                <a:rPr lang="es-AR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AR" sz="1200" b="0" i="0">
                  <a:latin typeface="Cambria Math" panose="02040503050406030204" pitchFamily="18" charset="0"/>
                </a:rPr>
                <a:t>𝑠^2 )(𝑡−0,3)+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𝜎_𝑠^2  .  (𝑊 ̃_𝑡^𝑠−𝑊 ̃_0,3^𝑠 ) )</a:t>
              </a:r>
              <a:endParaRPr lang="es-AR" sz="1200"/>
            </a:p>
          </xdr:txBody>
        </xdr:sp>
      </mc:Fallback>
    </mc:AlternateContent>
    <xdr:clientData/>
  </xdr:oneCellAnchor>
  <xdr:oneCellAnchor>
    <xdr:from>
      <xdr:col>14</xdr:col>
      <xdr:colOff>57150</xdr:colOff>
      <xdr:row>30</xdr:row>
      <xdr:rowOff>133350</xdr:rowOff>
    </xdr:from>
    <xdr:ext cx="2705099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/>
            <xdr:cNvSpPr txBox="1"/>
          </xdr:nvSpPr>
          <xdr:spPr>
            <a:xfrm>
              <a:off x="5953125" y="6419850"/>
              <a:ext cx="2705099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s-AR" sz="1200" b="0" i="1">
                        <a:latin typeface="Cambria Math" panose="02040503050406030204" pitchFamily="18" charset="0"/>
                      </a:rPr>
                      <m:t>= </m:t>
                    </m:r>
                    <m:sSub>
                      <m:sSubPr>
                        <m:ctrlPr>
                          <a:rPr lang="es-AR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0,3</m:t>
                        </m:r>
                      </m:sub>
                    </m:sSub>
                    <m:r>
                      <a:rPr lang="es-AR" sz="1200" b="0" i="1">
                        <a:latin typeface="Cambria Math" panose="02040503050406030204" pitchFamily="18" charset="0"/>
                      </a:rPr>
                      <m:t>. </m:t>
                    </m:r>
                    <m:sSup>
                      <m:sSupPr>
                        <m:ctrlPr>
                          <a:rPr lang="es-AR" sz="12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d>
                          <m:dPr>
                            <m:ctrlPr>
                              <a:rPr lang="es-AR" sz="12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AR" sz="12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  <m:r>
                              <a:rPr lang="es-AR" sz="1200" b="0" i="1">
                                <a:latin typeface="Cambria Math" panose="02040503050406030204" pitchFamily="18" charset="0"/>
                              </a:rPr>
                              <m:t>−0,5 .  </m:t>
                            </m:r>
                            <m:sSubSup>
                              <m:sSubSupPr>
                                <m:ctrlP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𝜎</m:t>
                                </m:r>
                              </m:e>
                              <m:sub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</m:t>
                                </m:r>
                              </m:sub>
                              <m:sup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e>
                        </m:d>
                        <m:d>
                          <m:dPr>
                            <m:ctrlP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−0,3</m:t>
                            </m:r>
                          </m:e>
                        </m:d>
                        <m:r>
                          <a:rPr lang="es-AR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Sup>
                          <m:sSubSupPr>
                            <m:ctrlP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  <m:sup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  <m:r>
                          <a:rPr lang="es-AR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.  </m:t>
                        </m:r>
                        <m:d>
                          <m:dPr>
                            <m:ctrlP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Sup>
                              <m:sSubSupPr>
                                <m:ctrlP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acc>
                                  <m:accPr>
                                    <m:chr m:val="̃"/>
                                    <m:ctrlPr>
                                      <a:rPr lang="es-AR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accPr>
                                  <m:e>
                                    <m:r>
                                      <a:rPr lang="es-AR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𝑊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p>
                            </m:sSubSup>
                            <m:r>
                              <a:rPr lang="es-AR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Sup>
                              <m:sSubSupPr>
                                <m:ctrlP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acc>
                                  <m:accPr>
                                    <m:chr m:val="̃"/>
                                    <m:ctrlPr>
                                      <a:rPr lang="es-AR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accPr>
                                  <m:e>
                                    <m:r>
                                      <a:rPr lang="es-AR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𝑊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0,3</m:t>
                                </m:r>
                              </m:sub>
                              <m:sup>
                                <m:r>
                                  <a:rPr lang="es-AR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p>
                            </m:sSubSup>
                          </m:e>
                        </m:d>
                      </m:sup>
                    </m:sSup>
                  </m:oMath>
                </m:oMathPara>
              </a14:m>
              <a:endParaRPr lang="es-AR" sz="1200"/>
            </a:p>
          </xdr:txBody>
        </xdr:sp>
      </mc:Choice>
      <mc:Fallback xmlns="">
        <xdr:sp macro="" textlink="">
          <xdr:nvSpPr>
            <xdr:cNvPr id="57" name="CuadroTexto 56"/>
            <xdr:cNvSpPr txBox="1"/>
          </xdr:nvSpPr>
          <xdr:spPr>
            <a:xfrm>
              <a:off x="5953125" y="6419850"/>
              <a:ext cx="2705099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AR" sz="1200" b="0" i="0">
                  <a:latin typeface="Cambria Math" panose="02040503050406030204" pitchFamily="18" charset="0"/>
                </a:rPr>
                <a:t>𝑌_𝑡= 𝑌_0,3. 𝑒^((𝑟−0,5 .  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𝜎_𝑠^2 )(𝑡−0,3)+𝜎_𝑦^2  .  (𝑊 ̃_𝑡^𝑦−𝑊 ̃_0,3^𝑦 ) )</a:t>
              </a:r>
              <a:endParaRPr lang="es-AR" sz="1200"/>
            </a:p>
          </xdr:txBody>
        </xdr:sp>
      </mc:Fallback>
    </mc:AlternateContent>
    <xdr:clientData/>
  </xdr:oneCellAnchor>
  <xdr:oneCellAnchor>
    <xdr:from>
      <xdr:col>14</xdr:col>
      <xdr:colOff>104775</xdr:colOff>
      <xdr:row>32</xdr:row>
      <xdr:rowOff>180975</xdr:rowOff>
    </xdr:from>
    <xdr:ext cx="2694969" cy="1941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/>
            <xdr:cNvSpPr txBox="1"/>
          </xdr:nvSpPr>
          <xdr:spPr>
            <a:xfrm>
              <a:off x="6000750" y="6848475"/>
              <a:ext cx="2694969" cy="194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A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s-AR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A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s-AR" sz="1100" b="0" i="0">
                        <a:latin typeface="Cambria Math" panose="02040503050406030204" pitchFamily="18" charset="0"/>
                      </a:rPr>
                      <m:t>. </m:t>
                    </m:r>
                    <m:sSub>
                      <m:sSubPr>
                        <m:ctrlPr>
                          <a:rPr lang="es-A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𝔼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ℚ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𝑋</m:t>
                        </m:r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. </m:t>
                        </m:r>
                        <m:sSubSup>
                          <m:sSubSupPr>
                            <m:ctrlP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sub>
                          <m:sup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−1</m:t>
                            </m:r>
                          </m:sup>
                        </m:sSubSup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| </m:t>
                        </m:r>
                        <m:sSub>
                          <m:sSubPr>
                            <m:ctrlP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e>
                    </m:d>
                    <m:r>
                      <a:rPr lang="es-A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 </m:t>
                    </m:r>
                    <m:sSub>
                      <m:sSubPr>
                        <m:ctrlP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s-A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.</m:t>
                    </m:r>
                    <m:sSubSup>
                      <m:sSubSup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sub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sup>
                    </m:sSubSup>
                    <m:sSub>
                      <m:sSub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𝔼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ℚ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|</m:t>
                        </m:r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</m:d>
                  </m:oMath>
                </m:oMathPara>
              </a14:m>
              <a:endParaRPr lang="es-A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58" name="CuadroTexto 57"/>
            <xdr:cNvSpPr txBox="1"/>
          </xdr:nvSpPr>
          <xdr:spPr>
            <a:xfrm>
              <a:off x="6000750" y="6848475"/>
              <a:ext cx="2694969" cy="194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AR" sz="1100" b="0" i="0">
                  <a:latin typeface="Cambria Math" panose="02040503050406030204" pitchFamily="18" charset="0"/>
                </a:rPr>
                <a:t>𝑉_𝑡=𝐵_𝑡. 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𝔼_ℚ [𝑋 . 𝐵_𝑇^(−1)  | 𝐹_𝑡 ]= 𝐵_𝑡.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𝐵_𝑇^(−1) 𝔼_ℚ [𝑋|𝐹_𝑡  ]</a:t>
              </a:r>
              <a:endParaRPr lang="es-A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14</xdr:col>
      <xdr:colOff>28575</xdr:colOff>
      <xdr:row>10</xdr:row>
      <xdr:rowOff>161925</xdr:rowOff>
    </xdr:from>
    <xdr:ext cx="8461675" cy="6267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9" name="CuadroTexto 58"/>
            <xdr:cNvSpPr txBox="1"/>
          </xdr:nvSpPr>
          <xdr:spPr>
            <a:xfrm>
              <a:off x="10477500" y="2066925"/>
              <a:ext cx="8461675" cy="6267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A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s-AR" sz="11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A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0,3</m:t>
                        </m:r>
                      </m:sub>
                    </m:sSub>
                    <m:r>
                      <a:rPr lang="es-AR" sz="1100" b="0" i="1">
                        <a:latin typeface="Cambria Math" panose="02040503050406030204" pitchFamily="18" charset="0"/>
                      </a:rPr>
                      <m:t>= </m:t>
                    </m:r>
                    <m:d>
                      <m:dPr>
                        <m:begChr m:val="{"/>
                        <m:endChr m:val=""/>
                        <m:ctrlPr>
                          <a:rPr lang="es-A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s-AR" sz="1100" b="0" i="1">
                                <a:latin typeface="Cambria Math" panose="02040503050406030204" pitchFamily="18" charset="0"/>
                              </a:rPr>
                            </m:ctrlPr>
                          </m:eqArrPr>
                          <m:e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 − 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=0</m:t>
                            </m:r>
                          </m:e>
                          <m:e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0,3+0,01 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~ 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𝒩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(0;0,01)</m:t>
                            </m:r>
                          </m:e>
                          <m:e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0,3+2(0,01)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= 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0,3+2</m:t>
                                </m:r>
                                <m:d>
                                  <m:dPr>
                                    <m:ctrlPr>
                                      <a:rPr lang="es-AR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s-AR" sz="1100" b="0" i="1">
                                        <a:latin typeface="Cambria Math" panose="02040503050406030204" pitchFamily="18" charset="0"/>
                                      </a:rPr>
                                      <m:t>0,01</m:t>
                                    </m:r>
                                  </m:e>
                                </m:d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 − 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0,3+</m:t>
                                </m:r>
                                <m:d>
                                  <m:dPr>
                                    <m:ctrlPr>
                                      <a:rPr lang="es-AR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s-AR" sz="1100" b="0" i="1">
                                        <a:latin typeface="Cambria Math" panose="02040503050406030204" pitchFamily="18" charset="0"/>
                                      </a:rPr>
                                      <m:t>0,01</m:t>
                                    </m:r>
                                  </m:e>
                                </m:d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+ 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0,3+</m:t>
                                </m:r>
                                <m:d>
                                  <m:dPr>
                                    <m:ctrlPr>
                                      <a:rPr lang="es-AR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s-AR" sz="1100" b="0" i="1">
                                        <a:latin typeface="Cambria Math" panose="02040503050406030204" pitchFamily="18" charset="0"/>
                                      </a:rPr>
                                      <m:t>0,01</m:t>
                                    </m:r>
                                  </m:e>
                                </m:d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 −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</a:rPr>
                                  <m:t>0,3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~ 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𝒩</m:t>
                            </m:r>
                            <m:d>
                              <m:d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0;0,01</m:t>
                                </m:r>
                              </m:e>
                            </m:d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 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0,3+0,01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− </m:t>
                            </m:r>
                            <m:sSub>
                              <m:sSubPr>
                                <m:ctrlPr>
                                  <a:rPr lang="es-A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A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0,3</m:t>
                                </m:r>
                              </m:sub>
                            </m:sSub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(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𝑌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𝑎𝑠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í 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𝑠𝑢𝑐𝑒𝑠𝑖𝑣𝑎𝑚𝑒𝑛𝑡𝑒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)</m:t>
                            </m:r>
                          </m:e>
                        </m:eqArr>
                      </m:e>
                    </m:d>
                  </m:oMath>
                </m:oMathPara>
              </a14:m>
              <a:endParaRPr lang="es-AR" sz="1100"/>
            </a:p>
          </xdr:txBody>
        </xdr:sp>
      </mc:Choice>
      <mc:Fallback>
        <xdr:sp macro="" textlink="">
          <xdr:nvSpPr>
            <xdr:cNvPr id="59" name="CuadroTexto 58"/>
            <xdr:cNvSpPr txBox="1"/>
          </xdr:nvSpPr>
          <xdr:spPr>
            <a:xfrm>
              <a:off x="10477500" y="2066925"/>
              <a:ext cx="8461675" cy="6267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AR" sz="1100" b="0" i="0">
                  <a:latin typeface="Cambria Math" panose="02040503050406030204" pitchFamily="18" charset="0"/>
                </a:rPr>
                <a:t>𝑊_𝑡−𝑊_0,3= {█(𝑊_0,3  − 𝑊_0,3=0@𝑊_(0,3+0,01 )−𝑊_0,3  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~ 𝒩(0;0,01)@</a:t>
              </a:r>
              <a:r>
                <a:rPr lang="es-AR" sz="1100" b="0" i="0">
                  <a:latin typeface="Cambria Math" panose="02040503050406030204" pitchFamily="18" charset="0"/>
                </a:rPr>
                <a:t>𝑊_(0,3+2(0,01))−𝑊_0,3= 𝑊_(0,3+2(0,01) )  − 𝑊_(0,3+(0,01) )+ 𝑊_(0,3+(0,01) )  −𝑊_0,3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~ 𝒩(0;0,01)+ 𝑊_(0,3+0,01)  − 𝑊_0,3  (𝑌 𝑎𝑠í 𝑠𝑢𝑐𝑒𝑠𝑖𝑣𝑎𝑚𝑒𝑛𝑡𝑒))┤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14</xdr:col>
      <xdr:colOff>47625</xdr:colOff>
      <xdr:row>16</xdr:row>
      <xdr:rowOff>161925</xdr:rowOff>
    </xdr:from>
    <xdr:ext cx="2049022" cy="3143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/>
            <xdr:cNvSpPr txBox="1"/>
          </xdr:nvSpPr>
          <xdr:spPr>
            <a:xfrm>
              <a:off x="5943600" y="3781425"/>
              <a:ext cx="2049022" cy="3143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Δ</m:t>
                    </m:r>
                    <m:sSubSup>
                      <m:sSubSupPr>
                        <m:ctrlP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𝑦</m:t>
                        </m:r>
                      </m:sup>
                    </m:sSubSup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𝜌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. </m:t>
                    </m:r>
                    <m:r>
                      <m:rPr>
                        <m:sty m:val="p"/>
                      </m:rPr>
                      <a:rPr lang="el-GR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Δ</m:t>
                    </m:r>
                    <m:sSubSup>
                      <m:sSubSupPr>
                        <m:ctrlP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p>
                    </m:sSubSup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ad>
                      <m:radPr>
                        <m:degHide m:val="on"/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1−</m:t>
                        </m:r>
                        <m:sSup>
                          <m:sSup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𝜌</m:t>
                            </m:r>
                          </m:e>
                          <m:sup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rad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</m:t>
                    </m:r>
                    <m:r>
                      <m:rPr>
                        <m:sty m:val="p"/>
                      </m:rPr>
                      <a:rPr lang="el-GR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Δ</m:t>
                    </m:r>
                    <m:sSubSup>
                      <m:sSubSupPr>
                        <m:ctrlP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s-AR">
                <a:effectLst/>
              </a:endParaRPr>
            </a:p>
            <a:p>
              <a:endParaRPr lang="es-AR" sz="1100"/>
            </a:p>
          </xdr:txBody>
        </xdr:sp>
      </mc:Choice>
      <mc:Fallback xmlns="">
        <xdr:sp macro="" textlink="">
          <xdr:nvSpPr>
            <xdr:cNvPr id="60" name="CuadroTexto 59"/>
            <xdr:cNvSpPr txBox="1"/>
          </xdr:nvSpPr>
          <xdr:spPr>
            <a:xfrm>
              <a:off x="5943600" y="3781425"/>
              <a:ext cx="2049022" cy="3143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𝑡^𝑦= 𝜌 . 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𝑡^1+√(1−𝜌^2 ).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𝑡^2</a:t>
              </a:r>
              <a:endParaRPr lang="es-AR">
                <a:effectLst/>
              </a:endParaRPr>
            </a:p>
            <a:p>
              <a:endParaRPr lang="es-AR" sz="1100"/>
            </a:p>
          </xdr:txBody>
        </xdr:sp>
      </mc:Fallback>
    </mc:AlternateContent>
    <xdr:clientData/>
  </xdr:oneCellAnchor>
  <xdr:oneCellAnchor>
    <xdr:from>
      <xdr:col>14</xdr:col>
      <xdr:colOff>114299</xdr:colOff>
      <xdr:row>34</xdr:row>
      <xdr:rowOff>190499</xdr:rowOff>
    </xdr:from>
    <xdr:ext cx="6143626" cy="12954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/>
            <xdr:cNvSpPr txBox="1"/>
          </xdr:nvSpPr>
          <xdr:spPr>
            <a:xfrm>
              <a:off x="10563224" y="6667499"/>
              <a:ext cx="6143626" cy="12954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Donde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𝑋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𝑀𝐴𝑋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∈[0;1]</m:t>
                        </m:r>
                      </m:sub>
                    </m:sSub>
                    <m:d>
                      <m:dPr>
                        <m:begChr m:val="{"/>
                        <m:endChr m:val="}"/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d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 </m:t>
                    </m:r>
                    <m:sSub>
                      <m:sSub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𝑀𝐼𝑁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∈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0;1</m:t>
                            </m:r>
                          </m:e>
                        </m:d>
                      </m:sub>
                    </m:sSub>
                    <m:d>
                      <m:dPr>
                        <m:begChr m:val="{"/>
                        <m:endChr m:val="}"/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𝑌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d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y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la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esperanza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en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este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caso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ser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á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representada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</m:oMath>
                  <m:oMath xmlns:m="http://schemas.openxmlformats.org/officeDocument/2006/math"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por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el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promedio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de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los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payoffs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simulados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</m:t>
                    </m:r>
                  </m:oMath>
                  <m:oMath xmlns:m="http://schemas.openxmlformats.org/officeDocument/2006/math"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Es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decir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sSub>
                      <m:sSub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𝔼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ℚ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| </m:t>
                        </m:r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d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=1</m:t>
                            </m:r>
                          </m:sub>
                          <m:sup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  <m:e>
                            <m:sSub>
                              <m:sSubPr>
                                <m:ctrlPr>
                                  <a:rPr lang="es-A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A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𝑋</m:t>
                                </m:r>
                              </m:e>
                              <m:sub>
                                <m:r>
                                  <a:rPr lang="es-A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</m:e>
                        </m:nary>
                      </m:num>
                      <m:den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den>
                    </m:f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donde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b>
                      <m:sSub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AR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AR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j</m:t>
                        </m:r>
                      </m:sub>
                    </m:sSub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es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el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payoff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de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la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j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−é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sima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simulaci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ó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n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y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m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es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la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cantidad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total</m:t>
                    </m:r>
                  </m:oMath>
                  <m:oMath xmlns:m="http://schemas.openxmlformats.org/officeDocument/2006/math"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de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simulaciones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Por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ejemplo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para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100 </m:t>
                    </m:r>
                    <m:r>
                      <m:rPr>
                        <m:sty m:val="p"/>
                      </m:rP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simulaciones</m:t>
                    </m:r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: </m:t>
                    </m:r>
                  </m:oMath>
                  <m:oMath xmlns:m="http://schemas.openxmlformats.org/officeDocument/2006/math">
                    <m:sSub>
                      <m:sSubPr>
                        <m:ctrlPr>
                          <a:rPr lang="es-A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 </m:t>
                    </m:r>
                    <m:sSub>
                      <m:sSub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𝔼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ℚ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. </m:t>
                        </m:r>
                        <m:sSubSup>
                          <m:sSubSup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𝐵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  <m:sup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</m:t>
                            </m:r>
                          </m:sup>
                        </m:sSub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| </m:t>
                        </m:r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d>
                    <m:r>
                      <a:rPr lang="es-A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p>
                      <m:sSup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sup>
                    </m:sSup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 </m:t>
                    </m:r>
                    <m:f>
                      <m:f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𝑋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+…+</m:t>
                        </m:r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𝑋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100</m:t>
                            </m:r>
                          </m:sub>
                        </m:sSub>
                      </m:num>
                      <m:den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100</m:t>
                        </m:r>
                      </m:den>
                    </m:f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. </m:t>
                    </m:r>
                    <m:r>
                      <m:rPr>
                        <m:nor/>
                      </m:rPr>
                      <a:rPr lang="es-AR" sz="11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En</m:t>
                    </m:r>
                    <m:r>
                      <m:rPr>
                        <m:nor/>
                      </m:rPr>
                      <a:rPr lang="es-AR" sz="1100" baseline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nor/>
                      </m:rPr>
                      <a:rPr lang="es-AR" sz="1100" baseline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particular</m:t>
                    </m:r>
                    <m:r>
                      <m:rPr>
                        <m:nor/>
                      </m:rPr>
                      <a:rPr lang="es-AR" sz="1100" baseline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, </m:t>
                    </m:r>
                    <m:sSub>
                      <m:sSubPr>
                        <m:ctrlPr>
                          <a:rPr lang="es-A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0,3</m:t>
                        </m:r>
                      </m:sub>
                    </m:sSub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p>
                      <m:sSup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−0,04.(1−0,3)</m:t>
                        </m:r>
                      </m:sup>
                    </m:sSup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 . </m:t>
                    </m:r>
                    <m:f>
                      <m:f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𝑋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+…+</m:t>
                        </m:r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𝑋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100</m:t>
                            </m:r>
                          </m:sub>
                        </m:sSub>
                      </m:num>
                      <m:den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100</m:t>
                        </m:r>
                      </m:den>
                    </m:f>
                  </m:oMath>
                </m:oMathPara>
              </a14:m>
              <a:endParaRPr lang="es-A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1" name="CuadroTexto 60"/>
            <xdr:cNvSpPr txBox="1"/>
          </xdr:nvSpPr>
          <xdr:spPr>
            <a:xfrm>
              <a:off x="10563224" y="6667499"/>
              <a:ext cx="6143626" cy="12954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Donde 𝑋= 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〖𝑀𝐴𝑋〗_(𝑡∈[0;1]) {𝑆_𝑡 }− 〖𝑀𝐼𝑁〗_(𝑡∈[0;1] ) {𝑌_𝑡 }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y la esperanza, en este caso, será representada </a:t>
              </a:r>
              <a:b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por el promedio de los payoffs simulados.</a:t>
              </a:r>
              <a:r>
                <a:rPr lang="es-AR" sz="1100" b="0" i="1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/>
              </a:r>
              <a:br>
                <a:rPr lang="es-AR" sz="1100" b="0" i="1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Es decir, 𝔼_ℚ [𝑋 | 𝐹_𝑡 ]=(∑_(𝑗=1)^𝑚▒𝑋_𝑗 )/𝑚  , donde X_j  es el payoff de la j−ésima simulación y m es la cantidad total</a:t>
              </a:r>
              <a:b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de simulaciones. Por ejemplo,para 100 simulaciones: </a:t>
              </a:r>
              <a:b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𝑉_𝑡=𝐵_𝑡. 𝔼_ℚ [𝑋 . 𝐵_𝑇^(−1)  | 𝐹_𝑡 ]= 𝑒^(−𝑟(𝑇−𝑡)).  (𝑋_1+…+𝑋_100)/100  . "</a:t>
              </a:r>
              <a:r>
                <a:rPr lang="es-A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En</a:t>
              </a:r>
              <a:r>
                <a:rPr lang="es-AR" sz="110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particular, " 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𝑉_0,3= 𝑒^(−0,04.(1−0,3)). 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.  (𝑋_1+…+𝑋_100)/1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00</a:t>
              </a:r>
              <a:endParaRPr lang="es-A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14</xdr:col>
      <xdr:colOff>57149</xdr:colOff>
      <xdr:row>27</xdr:row>
      <xdr:rowOff>19050</xdr:rowOff>
    </xdr:from>
    <xdr:ext cx="6210301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/>
            <xdr:cNvSpPr txBox="1"/>
          </xdr:nvSpPr>
          <xdr:spPr>
            <a:xfrm>
              <a:off x="5953124" y="5734050"/>
              <a:ext cx="621030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s-AR" sz="1100" b="0" i="0">
                      <a:latin typeface="Cambria Math" panose="02040503050406030204" pitchFamily="18" charset="0"/>
                    </a:rPr>
                    <m:t>Luego</m:t>
                  </m:r>
                  <m:r>
                    <a:rPr lang="es-AR" sz="1100" b="0" i="0">
                      <a:latin typeface="Cambria Math" panose="02040503050406030204" pitchFamily="18" charset="0"/>
                    </a:rPr>
                    <m:t>, </m:t>
                  </m:r>
                  <m:r>
                    <m:rPr>
                      <m:sty m:val="p"/>
                    </m:rPr>
                    <a:rPr lang="es-AR" sz="1100" b="0" i="0">
                      <a:latin typeface="Cambria Math" panose="02040503050406030204" pitchFamily="18" charset="0"/>
                    </a:rPr>
                    <m:t>bajo</m:t>
                  </m:r>
                  <m:r>
                    <a:rPr lang="es-AR" sz="1100" b="0" i="0">
                      <a:latin typeface="Cambria Math" panose="02040503050406030204" pitchFamily="18" charset="0"/>
                    </a:rPr>
                    <m:t> </m:t>
                  </m:r>
                  <m:r>
                    <m:rPr>
                      <m:sty m:val="p"/>
                    </m:rPr>
                    <a:rPr lang="es-AR" sz="1100" b="0" i="0">
                      <a:latin typeface="Cambria Math" panose="02040503050406030204" pitchFamily="18" charset="0"/>
                    </a:rPr>
                    <m:t>supuesto</m:t>
                  </m:r>
                  <m:r>
                    <a:rPr lang="es-AR" sz="1100" b="0" i="0">
                      <a:latin typeface="Cambria Math" panose="02040503050406030204" pitchFamily="18" charset="0"/>
                    </a:rPr>
                    <m:t> </m:t>
                  </m:r>
                  <m:r>
                    <m:rPr>
                      <m:sty m:val="p"/>
                    </m:rPr>
                    <a:rPr lang="es-AR" sz="1100" b="0" i="0">
                      <a:latin typeface="Cambria Math" panose="02040503050406030204" pitchFamily="18" charset="0"/>
                    </a:rPr>
                    <m:t>de</m:t>
                  </m:r>
                  <m:r>
                    <a:rPr lang="es-AR" sz="1100" b="0" i="0">
                      <a:latin typeface="Cambria Math" panose="02040503050406030204" pitchFamily="18" charset="0"/>
                    </a:rPr>
                    <m:t> </m:t>
                  </m:r>
                  <m:r>
                    <m:rPr>
                      <m:sty m:val="p"/>
                    </m:rPr>
                    <a:rPr lang="es-AR" sz="1100" b="0" i="0">
                      <a:latin typeface="Cambria Math" panose="02040503050406030204" pitchFamily="18" charset="0"/>
                    </a:rPr>
                    <m:t>probabilidades</m:t>
                  </m:r>
                  <m:r>
                    <a:rPr lang="es-AR" sz="1100" b="0" i="0">
                      <a:latin typeface="Cambria Math" panose="02040503050406030204" pitchFamily="18" charset="0"/>
                    </a:rPr>
                    <m:t> </m:t>
                  </m:r>
                  <m:r>
                    <a:rPr lang="es-AR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ℚ</m:t>
                  </m:r>
                  <m:r>
                    <a:rPr lang="es-AR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, </m:t>
                  </m:r>
                  <m:r>
                    <m:rPr>
                      <m:sty m:val="p"/>
                    </m:rPr>
                    <a:rPr lang="el-GR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Δ</m:t>
                  </m:r>
                  <m:sSubSup>
                    <m:sSubSupPr>
                      <m:ctrlPr>
                        <a:rPr lang="el-G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SupPr>
                    <m:e>
                      <m:acc>
                        <m:accPr>
                          <m:chr m:val="̃"/>
                          <m:ctrlPr>
                            <a:rPr lang="el-G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es-A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𝑊</m:t>
                          </m:r>
                        </m:e>
                      </m:acc>
                    </m:e>
                    <m:sub>
                      <m:r>
                        <a:rPr lang="es-A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𝑡</m:t>
                      </m:r>
                    </m:sub>
                    <m:sup>
                      <m:r>
                        <a:rPr lang="es-A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</m:t>
                      </m:r>
                    </m:sup>
                  </m:sSubSup>
                  <m:r>
                    <a:rPr lang="es-A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~ </m:t>
                  </m:r>
                  <m:r>
                    <a:rPr lang="es-A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𝒩</m:t>
                  </m:r>
                  <m:r>
                    <a:rPr lang="es-A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(0;</m:t>
                  </m:r>
                  <m:sSup>
                    <m:sSupPr>
                      <m:ctrlP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𝜎</m:t>
                      </m:r>
                    </m:e>
                    <m:sup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  <m:r>
                    <a:rPr lang="es-A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=0,01)</m:t>
                  </m:r>
                </m:oMath>
              </a14:m>
              <a:r>
                <a:rPr lang="es-AR" sz="1100"/>
                <a:t> y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Δ</m:t>
                  </m:r>
                  <m:sSubSup>
                    <m:sSubSupPr>
                      <m:ctrlPr>
                        <a:rPr lang="el-G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SupPr>
                    <m:e>
                      <m:acc>
                        <m:accPr>
                          <m:chr m:val="̃"/>
                          <m:ctrlPr>
                            <a:rPr lang="el-GR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lang="es-AR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𝑊</m:t>
                          </m:r>
                        </m:e>
                      </m:acc>
                    </m:e>
                    <m:sub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  <m:sup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bSup>
                  <m:r>
                    <a:rPr lang="es-A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~ </m:t>
                  </m:r>
                  <m:r>
                    <a:rPr lang="es-A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𝒩</m:t>
                  </m:r>
                  <m:d>
                    <m:dPr>
                      <m:ctrlP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0;</m:t>
                      </m:r>
                      <m:sSup>
                        <m:sSupPr>
                          <m:ctrlPr>
                            <a:rPr lang="es-AR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s-AR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𝜎</m:t>
                          </m:r>
                        </m:e>
                        <m:sup>
                          <m:r>
                            <a:rPr lang="es-AR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  <m:r>
                        <a:rPr lang="es-A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=0,01</m:t>
                      </m:r>
                    </m:e>
                  </m:d>
                </m:oMath>
              </a14:m>
              <a:r>
                <a:rPr lang="es-AR" sz="1100"/>
                <a:t>, entonces</a:t>
              </a:r>
            </a:p>
          </xdr:txBody>
        </xdr:sp>
      </mc:Choice>
      <mc:Fallback xmlns="">
        <xdr:sp macro="" textlink="">
          <xdr:nvSpPr>
            <xdr:cNvPr id="62" name="CuadroTexto 61"/>
            <xdr:cNvSpPr txBox="1"/>
          </xdr:nvSpPr>
          <xdr:spPr>
            <a:xfrm>
              <a:off x="5953124" y="5734050"/>
              <a:ext cx="621030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AR" sz="1100" b="0" i="0">
                  <a:latin typeface="Cambria Math" panose="02040503050406030204" pitchFamily="18" charset="0"/>
                </a:rPr>
                <a:t>Luego, bajo supuesto de probabilidades 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ℚ, 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𝑊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 ̃_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𝑡^1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~ 𝒩(0;𝜎^2=0,01)</a:t>
              </a:r>
              <a:r>
                <a:rPr lang="es-AR" sz="1100"/>
                <a:t> y 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 ̃_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𝑡^2~ 𝒩(0;𝜎^2=0,01)</a:t>
              </a:r>
              <a:r>
                <a:rPr lang="es-AR" sz="1100"/>
                <a:t>, entonces</a:t>
              </a:r>
            </a:p>
          </xdr:txBody>
        </xdr:sp>
      </mc:Fallback>
    </mc:AlternateContent>
    <xdr:clientData/>
  </xdr:oneCellAnchor>
  <xdr:oneCellAnchor>
    <xdr:from>
      <xdr:col>14</xdr:col>
      <xdr:colOff>95250</xdr:colOff>
      <xdr:row>18</xdr:row>
      <xdr:rowOff>171450</xdr:rowOff>
    </xdr:from>
    <xdr:ext cx="1867755" cy="1971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/>
            <xdr:cNvSpPr txBox="1"/>
          </xdr:nvSpPr>
          <xdr:spPr>
            <a:xfrm>
              <a:off x="5991225" y="4171950"/>
              <a:ext cx="1867755" cy="1971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A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s-AR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A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0,3</m:t>
                        </m:r>
                      </m:sub>
                    </m:sSub>
                    <m:r>
                      <a:rPr lang="es-AR" sz="1100" b="0" i="1">
                        <a:latin typeface="Cambria Math" panose="02040503050406030204" pitchFamily="18" charset="0"/>
                      </a:rPr>
                      <m:t> . </m:t>
                    </m:r>
                    <m:sSup>
                      <m:sSupPr>
                        <m:ctrlPr>
                          <a:rPr lang="es-A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sSub>
                          <m:sSubPr>
                            <m:ctrlPr>
                              <a:rPr lang="es-A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𝜇</m:t>
                            </m:r>
                          </m:e>
                          <m:sub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  <m:d>
                          <m:dPr>
                            <m:ctrlP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−0,3</m:t>
                            </m:r>
                          </m:e>
                        </m:d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A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0,3</m:t>
                            </m:r>
                          </m:sub>
                        </m:sSub>
                        <m:r>
                          <a:rPr lang="es-A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63" name="CuadroTexto 62"/>
            <xdr:cNvSpPr txBox="1"/>
          </xdr:nvSpPr>
          <xdr:spPr>
            <a:xfrm>
              <a:off x="5991225" y="4171950"/>
              <a:ext cx="1867755" cy="1971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AR" sz="1100" b="0" i="0">
                  <a:latin typeface="Cambria Math" panose="02040503050406030204" pitchFamily="18" charset="0"/>
                </a:rPr>
                <a:t>𝑆_𝑡=𝑆_0,3  . 𝑒^(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AR" sz="1100" b="0" i="0">
                  <a:latin typeface="Cambria Math" panose="02040503050406030204" pitchFamily="18" charset="0"/>
                </a:rPr>
                <a:t>𝑠</a:t>
              </a:r>
              <a:r>
                <a:rPr lang="es-A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(𝑡−0,3)+𝜎_𝑠 (𝑊_𝑡−𝑊_0,3))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14</xdr:col>
      <xdr:colOff>85725</xdr:colOff>
      <xdr:row>20</xdr:row>
      <xdr:rowOff>180975</xdr:rowOff>
    </xdr:from>
    <xdr:ext cx="1862497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CuadroTexto 63"/>
            <xdr:cNvSpPr txBox="1"/>
          </xdr:nvSpPr>
          <xdr:spPr>
            <a:xfrm>
              <a:off x="5981700" y="4562475"/>
              <a:ext cx="1862497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A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𝑌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𝑌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0,3</m:t>
                        </m:r>
                      </m:sub>
                    </m:sSub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. </m:t>
                    </m:r>
                    <m:sSup>
                      <m:sSupPr>
                        <m:ctrlP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𝜇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  <m:d>
                          <m:d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−0,3</m:t>
                            </m:r>
                          </m:e>
                        </m:d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𝑊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𝑊</m:t>
                            </m:r>
                          </m:e>
                          <m:sub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0,3</m:t>
                            </m:r>
                          </m:sub>
                        </m:s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64" name="CuadroTexto 63"/>
            <xdr:cNvSpPr txBox="1"/>
          </xdr:nvSpPr>
          <xdr:spPr>
            <a:xfrm>
              <a:off x="5981700" y="4562475"/>
              <a:ext cx="1862497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𝑌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_𝑡=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𝑌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_0,3  . 𝑒^(𝜇_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(𝑡−0,3)+𝜎_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(𝑊_𝑡−𝑊_0,3))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14</xdr:col>
      <xdr:colOff>76200</xdr:colOff>
      <xdr:row>23</xdr:row>
      <xdr:rowOff>0</xdr:rowOff>
    </xdr:from>
    <xdr:ext cx="994696" cy="1800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5" name="CuadroTexto 64"/>
            <xdr:cNvSpPr txBox="1"/>
          </xdr:nvSpPr>
          <xdr:spPr>
            <a:xfrm>
              <a:off x="5972175" y="4953000"/>
              <a:ext cx="994696" cy="1800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s-AR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acc>
                          <m:accPr>
                            <m:chr m:val="̃"/>
                            <m:ctrlPr>
                              <a:rPr lang="es-AR" sz="110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s-AR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</m:acc>
                      </m:e>
                      <m:sub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p>
                    </m:sSubSup>
                    <m:r>
                      <a:rPr lang="es-AR" sz="1100" b="0" i="1">
                        <a:latin typeface="Cambria Math" panose="02040503050406030204" pitchFamily="18" charset="0"/>
                      </a:rPr>
                      <m:t>= </m:t>
                    </m:r>
                    <m:sSubSup>
                      <m:sSubSupPr>
                        <m:ctrlP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p>
                    </m:sSubSup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 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𝜃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𝑡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65" name="CuadroTexto 64"/>
            <xdr:cNvSpPr txBox="1"/>
          </xdr:nvSpPr>
          <xdr:spPr>
            <a:xfrm>
              <a:off x="5972175" y="4953000"/>
              <a:ext cx="994696" cy="1800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AR" sz="1100" b="0" i="0">
                  <a:latin typeface="Cambria Math" panose="02040503050406030204" pitchFamily="18" charset="0"/>
                </a:rPr>
                <a:t>𝑊 ̃_𝑡^1= 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𝑡^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1+ 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𝜃𝑡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14</xdr:col>
      <xdr:colOff>76200</xdr:colOff>
      <xdr:row>25</xdr:row>
      <xdr:rowOff>0</xdr:rowOff>
    </xdr:from>
    <xdr:ext cx="1000722" cy="1800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uadroTexto 65"/>
            <xdr:cNvSpPr txBox="1"/>
          </xdr:nvSpPr>
          <xdr:spPr>
            <a:xfrm>
              <a:off x="5972175" y="5334000"/>
              <a:ext cx="1000722" cy="1800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s-A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acc>
                          <m:accPr>
                            <m:chr m:val="̃"/>
                            <m:ctrlPr>
                              <a:rPr lang="es-A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s-A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𝑊</m:t>
                            </m:r>
                          </m:e>
                        </m:acc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bSup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Sup>
                      <m:sSubSupPr>
                        <m:ctrlP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</m:e>
                      <m:sub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s-A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bSup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 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  <m:r>
                      <a:rPr lang="es-A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66" name="CuadroTexto 65"/>
            <xdr:cNvSpPr txBox="1"/>
          </xdr:nvSpPr>
          <xdr:spPr>
            <a:xfrm>
              <a:off x="5972175" y="5334000"/>
              <a:ext cx="1000722" cy="1800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𝑊 ̃_𝑡^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 𝑊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𝑡^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s-A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 𝜃𝑡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14</xdr:col>
      <xdr:colOff>28575</xdr:colOff>
      <xdr:row>9</xdr:row>
      <xdr:rowOff>114300</xdr:rowOff>
    </xdr:from>
    <xdr:ext cx="23973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CuadroTexto 66"/>
            <xdr:cNvSpPr txBox="1"/>
          </xdr:nvSpPr>
          <xdr:spPr>
            <a:xfrm>
              <a:off x="5924550" y="2400300"/>
              <a:ext cx="23973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AR" sz="1100" b="0" i="0">
                        <a:latin typeface="Cambria Math" panose="02040503050406030204" pitchFamily="18" charset="0"/>
                      </a:rPr>
                      <m:t>Luego</m:t>
                    </m:r>
                    <m:r>
                      <a:rPr lang="es-AR" sz="1100" b="0" i="0">
                        <a:latin typeface="Cambria Math" panose="02040503050406030204" pitchFamily="18" charset="0"/>
                      </a:rPr>
                      <m:t>, </m:t>
                    </m:r>
                    <m:r>
                      <m:rPr>
                        <m:sty m:val="p"/>
                      </m:rPr>
                      <a:rPr lang="es-AR" sz="1100" b="0" i="0">
                        <a:latin typeface="Cambria Math" panose="02040503050406030204" pitchFamily="18" charset="0"/>
                      </a:rPr>
                      <m:t>para</m:t>
                    </m:r>
                    <m:r>
                      <a:rPr lang="es-AR" sz="1100" b="0" i="0">
                        <a:latin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latin typeface="Cambria Math" panose="02040503050406030204" pitchFamily="18" charset="0"/>
                      </a:rPr>
                      <m:t>ambos</m:t>
                    </m:r>
                    <m:r>
                      <a:rPr lang="es-AR" sz="1100" b="0" i="0">
                        <a:latin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latin typeface="Cambria Math" panose="02040503050406030204" pitchFamily="18" charset="0"/>
                      </a:rPr>
                      <m:t>procesos</m:t>
                    </m:r>
                    <m:r>
                      <a:rPr lang="es-AR" sz="1100" b="0" i="0">
                        <a:latin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latin typeface="Cambria Math" panose="02040503050406030204" pitchFamily="18" charset="0"/>
                      </a:rPr>
                      <m:t>se</m:t>
                    </m:r>
                    <m:r>
                      <a:rPr lang="es-AR" sz="1100" b="0" i="0">
                        <a:latin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AR" sz="1100" b="0" i="0">
                        <a:latin typeface="Cambria Math" panose="02040503050406030204" pitchFamily="18" charset="0"/>
                      </a:rPr>
                      <m:t>cumple</m:t>
                    </m:r>
                    <m:r>
                      <a:rPr lang="es-AR" sz="1100" b="0" i="0">
                        <a:latin typeface="Cambria Math" panose="02040503050406030204" pitchFamily="18" charset="0"/>
                      </a:rPr>
                      <m:t>:</m:t>
                    </m:r>
                  </m:oMath>
                </m:oMathPara>
              </a14:m>
              <a:endParaRPr lang="es-AR" sz="1100" i="0"/>
            </a:p>
          </xdr:txBody>
        </xdr:sp>
      </mc:Choice>
      <mc:Fallback xmlns="">
        <xdr:sp macro="" textlink="">
          <xdr:nvSpPr>
            <xdr:cNvPr id="67" name="CuadroTexto 66"/>
            <xdr:cNvSpPr txBox="1"/>
          </xdr:nvSpPr>
          <xdr:spPr>
            <a:xfrm>
              <a:off x="5924550" y="2400300"/>
              <a:ext cx="23973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AR" sz="1100" b="0" i="0">
                  <a:latin typeface="Cambria Math" panose="02040503050406030204" pitchFamily="18" charset="0"/>
                </a:rPr>
                <a:t>Luego, para ambos procesos se cumple:</a:t>
              </a:r>
              <a:endParaRPr lang="es-AR" sz="1100" i="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P78"/>
  <sheetViews>
    <sheetView tabSelected="1" workbookViewId="0"/>
  </sheetViews>
  <sheetFormatPr baseColWidth="10" defaultColWidth="9.140625" defaultRowHeight="15" x14ac:dyDescent="0.25"/>
  <cols>
    <col min="2" max="2" width="12.7109375" customWidth="1"/>
    <col min="3" max="3" width="13.42578125" customWidth="1"/>
    <col min="4" max="4" width="12.42578125" customWidth="1"/>
    <col min="5" max="5" width="13.28515625" customWidth="1"/>
    <col min="12" max="12" width="12.140625" customWidth="1"/>
    <col min="13" max="13" width="13.140625" customWidth="1"/>
    <col min="14" max="14" width="14" customWidth="1"/>
  </cols>
  <sheetData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2</v>
      </c>
    </row>
    <row r="6" spans="1:10" x14ac:dyDescent="0.25">
      <c r="A6" s="1" t="s">
        <v>3</v>
      </c>
    </row>
    <row r="7" spans="1:10" x14ac:dyDescent="0.25">
      <c r="A7" s="2" t="s">
        <v>4</v>
      </c>
      <c r="B7" s="2" t="s">
        <v>5</v>
      </c>
      <c r="C7" s="2" t="s">
        <v>6</v>
      </c>
      <c r="D7" s="2" t="s">
        <v>7</v>
      </c>
      <c r="E7" s="2" t="s">
        <v>8</v>
      </c>
      <c r="F7" s="2" t="s">
        <v>9</v>
      </c>
      <c r="G7" s="2" t="s">
        <v>10</v>
      </c>
      <c r="I7" s="2" t="s">
        <v>11</v>
      </c>
      <c r="J7" t="s">
        <v>15</v>
      </c>
    </row>
    <row r="8" spans="1:10" x14ac:dyDescent="0.25">
      <c r="A8" s="3">
        <v>0.3</v>
      </c>
      <c r="B8" s="4">
        <v>0</v>
      </c>
      <c r="C8" s="4">
        <v>0</v>
      </c>
      <c r="D8" s="4">
        <v>0</v>
      </c>
      <c r="E8" s="4">
        <v>0</v>
      </c>
      <c r="F8" s="4">
        <v>10</v>
      </c>
      <c r="G8" s="4">
        <v>15</v>
      </c>
      <c r="I8" s="5">
        <f ca="1">EXP(-0.04*(1-A8))*(MAX(F8:F78,12)-MIN(G8:G78,11))</f>
        <v>1.5889663182278067</v>
      </c>
    </row>
    <row r="9" spans="1:10" x14ac:dyDescent="0.25">
      <c r="A9" s="3">
        <f>+A8+0.01</f>
        <v>0.31</v>
      </c>
      <c r="B9" s="4">
        <f ca="1">_xlfn.NORM.INV(RAND(),0,SQRT(0.01))</f>
        <v>-2.497364761563892E-2</v>
      </c>
      <c r="C9" s="4">
        <f ca="1">_xlfn.NORM.INV(RAND(),0,SQRT(0.01))</f>
        <v>-0.12178344598031687</v>
      </c>
      <c r="D9" s="4">
        <f ca="1">B9</f>
        <v>-2.497364761563892E-2</v>
      </c>
      <c r="E9" s="4">
        <f ca="1">0.7*B9+SQRT(1-0.7^2)*C9</f>
        <v>-0.10445232965592198</v>
      </c>
      <c r="F9" s="4">
        <f ca="1">$F$8*EXP((0.04-0.5*0.2^2)*(A9-$A$8)+0.2*D9)</f>
        <v>9.9521674684312185</v>
      </c>
      <c r="G9" s="4">
        <f ca="1">$G$8*EXP((0.04-0.5*0.25^2)*(A9-$A$8)+0.25*E9)</f>
        <v>14.614652461259402</v>
      </c>
    </row>
    <row r="10" spans="1:10" x14ac:dyDescent="0.25">
      <c r="A10" s="3">
        <f t="shared" ref="A10:A73" si="0">+A9+0.01</f>
        <v>0.32</v>
      </c>
      <c r="B10" s="4">
        <f ca="1">B9+_xlfn.NORM.INV(RAND(),0,SQRT(0.01))</f>
        <v>0.15910823346298769</v>
      </c>
      <c r="C10" s="4">
        <f ca="1">C9+_xlfn.NORM.INV(RAND(),0,SQRT(0.01))</f>
        <v>-8.7783470478411091E-2</v>
      </c>
      <c r="D10" s="4">
        <f t="shared" ref="D10:D73" ca="1" si="1">B10</f>
        <v>0.15910823346298769</v>
      </c>
      <c r="E10" s="4">
        <f t="shared" ref="E10:E73" ca="1" si="2">0.7*B10+SQRT(1-0.7^2)*C10</f>
        <v>4.8685826261023676E-2</v>
      </c>
      <c r="F10" s="4">
        <f t="shared" ref="F10:F73" ca="1" si="3">$F$8*EXP((0.04-0.5*0.2^2)*(A10-$A$8)+0.2*D10)</f>
        <v>10.327463847594684</v>
      </c>
      <c r="G10" s="4">
        <f t="shared" ref="G10:G73" ca="1" si="4">$G$8*EXP((0.04-0.5*0.25^2)*(A10-$A$8)+0.25*E10)</f>
        <v>15.186344830540371</v>
      </c>
    </row>
    <row r="11" spans="1:10" x14ac:dyDescent="0.25">
      <c r="A11" s="3">
        <f t="shared" si="0"/>
        <v>0.33</v>
      </c>
      <c r="B11" s="4">
        <f t="shared" ref="B11:C26" ca="1" si="5">B10+_xlfn.NORM.INV(RAND(),0,SQRT(0.01))</f>
        <v>0.16562475154076359</v>
      </c>
      <c r="C11" s="4">
        <f t="shared" ca="1" si="5"/>
        <v>3.2778314849352119E-5</v>
      </c>
      <c r="D11" s="4">
        <f t="shared" ca="1" si="1"/>
        <v>0.16562475154076359</v>
      </c>
      <c r="E11" s="4">
        <f t="shared" ca="1" si="2"/>
        <v>0.11596073447748499</v>
      </c>
      <c r="F11" s="4">
        <f t="shared" ca="1" si="3"/>
        <v>10.343000836816291</v>
      </c>
      <c r="G11" s="4">
        <f t="shared" ca="1" si="4"/>
        <v>15.445271191112584</v>
      </c>
    </row>
    <row r="12" spans="1:10" x14ac:dyDescent="0.25">
      <c r="A12" s="3">
        <f t="shared" si="0"/>
        <v>0.34</v>
      </c>
      <c r="B12" s="4">
        <f t="shared" ca="1" si="5"/>
        <v>0.36887967715318698</v>
      </c>
      <c r="C12" s="4">
        <f t="shared" ca="1" si="5"/>
        <v>-6.4848440880618405E-2</v>
      </c>
      <c r="D12" s="4">
        <f t="shared" ca="1" si="1"/>
        <v>0.36887967715318698</v>
      </c>
      <c r="E12" s="4">
        <f t="shared" ca="1" si="2"/>
        <v>0.21190472408207803</v>
      </c>
      <c r="F12" s="4">
        <f t="shared" ca="1" si="3"/>
        <v>10.77427155311028</v>
      </c>
      <c r="G12" s="4">
        <f t="shared" ca="1" si="4"/>
        <v>15.821604542335361</v>
      </c>
    </row>
    <row r="13" spans="1:10" x14ac:dyDescent="0.25">
      <c r="A13" s="3">
        <f t="shared" si="0"/>
        <v>0.35000000000000003</v>
      </c>
      <c r="B13" s="4">
        <f t="shared" ca="1" si="5"/>
        <v>0.36774740339349105</v>
      </c>
      <c r="C13" s="4">
        <f t="shared" ca="1" si="5"/>
        <v>-8.0947991859276189E-2</v>
      </c>
      <c r="D13" s="4">
        <f t="shared" ca="1" si="1"/>
        <v>0.36774740339349105</v>
      </c>
      <c r="E13" s="4">
        <f t="shared" ca="1" si="2"/>
        <v>0.19961475334571468</v>
      </c>
      <c r="F13" s="4">
        <f t="shared" ca="1" si="3"/>
        <v>10.773986526199192</v>
      </c>
      <c r="G13" s="4">
        <f t="shared" ca="1" si="4"/>
        <v>15.774447585126797</v>
      </c>
    </row>
    <row r="14" spans="1:10" x14ac:dyDescent="0.25">
      <c r="A14" s="3">
        <f t="shared" si="0"/>
        <v>0.36000000000000004</v>
      </c>
      <c r="B14" s="4">
        <f t="shared" ca="1" si="5"/>
        <v>0.28346827153563514</v>
      </c>
      <c r="C14" s="4">
        <f t="shared" ca="1" si="5"/>
        <v>-4.6456252898940946E-2</v>
      </c>
      <c r="D14" s="4">
        <f t="shared" ca="1" si="1"/>
        <v>0.28346827153563514</v>
      </c>
      <c r="E14" s="4">
        <f t="shared" ca="1" si="2"/>
        <v>0.16525138956133728</v>
      </c>
      <c r="F14" s="4">
        <f t="shared" ca="1" si="3"/>
        <v>10.596023055769823</v>
      </c>
      <c r="G14" s="4">
        <f t="shared" ca="1" si="4"/>
        <v>15.640880765990154</v>
      </c>
    </row>
    <row r="15" spans="1:10" x14ac:dyDescent="0.25">
      <c r="A15" s="3">
        <f t="shared" si="0"/>
        <v>0.37000000000000005</v>
      </c>
      <c r="B15" s="4">
        <f t="shared" ca="1" si="5"/>
        <v>0.42982269650600891</v>
      </c>
      <c r="C15" s="4">
        <f t="shared" ca="1" si="5"/>
        <v>-6.1317753270159682E-2</v>
      </c>
      <c r="D15" s="4">
        <f t="shared" ca="1" si="1"/>
        <v>0.42982269650600891</v>
      </c>
      <c r="E15" s="4">
        <f t="shared" ca="1" si="2"/>
        <v>0.25708625291641674</v>
      </c>
      <c r="F15" s="4">
        <f t="shared" ca="1" si="3"/>
        <v>10.912944269244251</v>
      </c>
      <c r="G15" s="4">
        <f t="shared" ca="1" si="4"/>
        <v>16.005529628769253</v>
      </c>
    </row>
    <row r="16" spans="1:10" x14ac:dyDescent="0.25">
      <c r="A16" s="3">
        <f t="shared" si="0"/>
        <v>0.38000000000000006</v>
      </c>
      <c r="B16" s="4">
        <f t="shared" ca="1" si="5"/>
        <v>0.38678237727710135</v>
      </c>
      <c r="C16" s="4">
        <f t="shared" ca="1" si="5"/>
        <v>-8.3745877070150701E-2</v>
      </c>
      <c r="D16" s="4">
        <f t="shared" ca="1" si="1"/>
        <v>0.38678237727710135</v>
      </c>
      <c r="E16" s="4">
        <f t="shared" ca="1" si="2"/>
        <v>0.21094114536576805</v>
      </c>
      <c r="F16" s="4">
        <f t="shared" ca="1" si="3"/>
        <v>10.821572206450957</v>
      </c>
      <c r="G16" s="4">
        <f t="shared" ca="1" si="4"/>
        <v>15.823330857749847</v>
      </c>
    </row>
    <row r="17" spans="1:7" x14ac:dyDescent="0.25">
      <c r="A17" s="3">
        <f t="shared" si="0"/>
        <v>0.39000000000000007</v>
      </c>
      <c r="B17" s="4">
        <f t="shared" ca="1" si="5"/>
        <v>0.39324921460454154</v>
      </c>
      <c r="C17" s="4">
        <f t="shared" ca="1" si="5"/>
        <v>-7.0629666850272527E-2</v>
      </c>
      <c r="D17" s="4">
        <f t="shared" ca="1" si="1"/>
        <v>0.39324921460454154</v>
      </c>
      <c r="E17" s="4">
        <f t="shared" ca="1" si="2"/>
        <v>0.22483477914887437</v>
      </c>
      <c r="F17" s="4">
        <f t="shared" ca="1" si="3"/>
        <v>10.83774486316357</v>
      </c>
      <c r="G17" s="4">
        <f t="shared" ca="1" si="4"/>
        <v>15.879776729888157</v>
      </c>
    </row>
    <row r="18" spans="1:7" x14ac:dyDescent="0.25">
      <c r="A18" s="3">
        <f t="shared" si="0"/>
        <v>0.40000000000000008</v>
      </c>
      <c r="B18" s="4">
        <f t="shared" ca="1" si="5"/>
        <v>0.43423046372188895</v>
      </c>
      <c r="C18" s="4">
        <f t="shared" ca="1" si="5"/>
        <v>5.3254572121558999E-2</v>
      </c>
      <c r="D18" s="4">
        <f t="shared" ca="1" si="1"/>
        <v>0.43423046372188895</v>
      </c>
      <c r="E18" s="4">
        <f t="shared" ca="1" si="2"/>
        <v>0.34199269613520095</v>
      </c>
      <c r="F18" s="4">
        <f t="shared" ca="1" si="3"/>
        <v>10.929124362278202</v>
      </c>
      <c r="G18" s="4">
        <f t="shared" ca="1" si="4"/>
        <v>16.353196374311345</v>
      </c>
    </row>
    <row r="19" spans="1:7" x14ac:dyDescent="0.25">
      <c r="A19" s="3">
        <f t="shared" si="0"/>
        <v>0.41000000000000009</v>
      </c>
      <c r="B19" s="4">
        <f t="shared" ca="1" si="5"/>
        <v>0.48652854613982627</v>
      </c>
      <c r="C19" s="4">
        <f t="shared" ca="1" si="5"/>
        <v>-1.3436778284891496E-2</v>
      </c>
      <c r="D19" s="4">
        <f t="shared" ca="1" si="1"/>
        <v>0.48652854613982627</v>
      </c>
      <c r="E19" s="4">
        <f t="shared" ca="1" si="2"/>
        <v>0.33097420325470323</v>
      </c>
      <c r="F19" s="4">
        <f t="shared" ca="1" si="3"/>
        <v>11.046247772766197</v>
      </c>
      <c r="G19" s="4">
        <f t="shared" ca="1" si="4"/>
        <v>16.309638497471447</v>
      </c>
    </row>
    <row r="20" spans="1:7" x14ac:dyDescent="0.25">
      <c r="A20" s="3">
        <f t="shared" si="0"/>
        <v>0.4200000000000001</v>
      </c>
      <c r="B20" s="4">
        <f t="shared" ca="1" si="5"/>
        <v>0.49725477829815906</v>
      </c>
      <c r="C20" s="4">
        <f t="shared" ca="1" si="5"/>
        <v>5.9815097557307975E-2</v>
      </c>
      <c r="D20" s="4">
        <f t="shared" ca="1" si="1"/>
        <v>0.49725477829815906</v>
      </c>
      <c r="E20" s="4">
        <f t="shared" ca="1" si="2"/>
        <v>0.39079486862389362</v>
      </c>
      <c r="F20" s="4">
        <f t="shared" ca="1" si="3"/>
        <v>11.072184347880716</v>
      </c>
      <c r="G20" s="4">
        <f t="shared" ca="1" si="4"/>
        <v>16.556833522399227</v>
      </c>
    </row>
    <row r="21" spans="1:7" x14ac:dyDescent="0.25">
      <c r="A21" s="3">
        <f t="shared" si="0"/>
        <v>0.4300000000000001</v>
      </c>
      <c r="B21" s="4">
        <f t="shared" ca="1" si="5"/>
        <v>0.53793091899345535</v>
      </c>
      <c r="C21" s="4">
        <f t="shared" ca="1" si="5"/>
        <v>1.6196667059960937E-2</v>
      </c>
      <c r="D21" s="4">
        <f t="shared" ca="1" si="1"/>
        <v>0.53793091899345535</v>
      </c>
      <c r="E21" s="4">
        <f t="shared" ca="1" si="2"/>
        <v>0.38811837715438358</v>
      </c>
      <c r="F21" s="4">
        <f t="shared" ca="1" si="3"/>
        <v>11.164859226991844</v>
      </c>
      <c r="G21" s="4">
        <f t="shared" ca="1" si="4"/>
        <v>16.547206489333917</v>
      </c>
    </row>
    <row r="22" spans="1:7" x14ac:dyDescent="0.25">
      <c r="A22" s="3">
        <f t="shared" si="0"/>
        <v>0.44000000000000011</v>
      </c>
      <c r="B22" s="4">
        <f t="shared" ca="1" si="5"/>
        <v>0.76048624474872784</v>
      </c>
      <c r="C22" s="4">
        <f t="shared" ca="1" si="5"/>
        <v>0.10207700592597298</v>
      </c>
      <c r="D22" s="4">
        <f t="shared" ca="1" si="1"/>
        <v>0.76048624474872784</v>
      </c>
      <c r="E22" s="4">
        <f t="shared" ca="1" si="2"/>
        <v>0.6052379345261375</v>
      </c>
      <c r="F22" s="4">
        <f t="shared" ca="1" si="3"/>
        <v>11.675379891870094</v>
      </c>
      <c r="G22" s="4">
        <f t="shared" ca="1" si="4"/>
        <v>17.471739410055413</v>
      </c>
    </row>
    <row r="23" spans="1:7" x14ac:dyDescent="0.25">
      <c r="A23" s="3">
        <f t="shared" si="0"/>
        <v>0.45000000000000012</v>
      </c>
      <c r="B23" s="4">
        <f t="shared" ca="1" si="5"/>
        <v>0.83235166545951067</v>
      </c>
      <c r="C23" s="4">
        <f t="shared" ca="1" si="5"/>
        <v>0.18157452734596752</v>
      </c>
      <c r="D23" s="4">
        <f t="shared" ca="1" si="1"/>
        <v>0.83235166545951067</v>
      </c>
      <c r="E23" s="4">
        <f t="shared" ca="1" si="2"/>
        <v>0.71231631497042969</v>
      </c>
      <c r="F23" s="4">
        <f t="shared" ca="1" si="3"/>
        <v>11.846772008021418</v>
      </c>
      <c r="G23" s="4">
        <f t="shared" ca="1" si="4"/>
        <v>17.947337582613848</v>
      </c>
    </row>
    <row r="24" spans="1:7" x14ac:dyDescent="0.25">
      <c r="A24" s="3">
        <f t="shared" si="0"/>
        <v>0.46000000000000013</v>
      </c>
      <c r="B24" s="4">
        <f t="shared" ca="1" si="5"/>
        <v>0.88833011217236391</v>
      </c>
      <c r="C24" s="4">
        <f t="shared" ca="1" si="5"/>
        <v>0.13800345574936365</v>
      </c>
      <c r="D24" s="4">
        <f t="shared" ca="1" si="1"/>
        <v>0.88833011217236391</v>
      </c>
      <c r="E24" s="4">
        <f t="shared" ca="1" si="2"/>
        <v>0.72038525873322079</v>
      </c>
      <c r="F24" s="4">
        <f t="shared" ca="1" si="3"/>
        <v>11.982546293002759</v>
      </c>
      <c r="G24" s="4">
        <f t="shared" ca="1" si="4"/>
        <v>17.985151769543496</v>
      </c>
    </row>
    <row r="25" spans="1:7" x14ac:dyDescent="0.25">
      <c r="A25" s="3">
        <f t="shared" si="0"/>
        <v>0.47000000000000014</v>
      </c>
      <c r="B25" s="4">
        <f t="shared" ca="1" si="5"/>
        <v>0.97741070210692038</v>
      </c>
      <c r="C25" s="4">
        <f t="shared" ca="1" si="5"/>
        <v>-2.2078296191733404E-2</v>
      </c>
      <c r="D25" s="4">
        <f t="shared" ca="1" si="1"/>
        <v>0.97741070210692038</v>
      </c>
      <c r="E25" s="4">
        <f t="shared" ca="1" si="2"/>
        <v>0.66842043426710085</v>
      </c>
      <c r="F25" s="4">
        <f t="shared" ca="1" si="3"/>
        <v>12.200381642419046</v>
      </c>
      <c r="G25" s="4">
        <f t="shared" ca="1" si="4"/>
        <v>17.754567551595233</v>
      </c>
    </row>
    <row r="26" spans="1:7" x14ac:dyDescent="0.25">
      <c r="A26" s="3">
        <f t="shared" si="0"/>
        <v>0.48000000000000015</v>
      </c>
      <c r="B26" s="4">
        <f t="shared" ca="1" si="5"/>
        <v>0.78272328473877861</v>
      </c>
      <c r="C26" s="4">
        <f t="shared" ca="1" si="5"/>
        <v>-4.0854828208572724E-2</v>
      </c>
      <c r="D26" s="4">
        <f t="shared" ca="1" si="1"/>
        <v>0.78272328473877861</v>
      </c>
      <c r="E26" s="4">
        <f t="shared" ca="1" si="2"/>
        <v>0.51873011615595144</v>
      </c>
      <c r="F26" s="4">
        <f t="shared" ca="1" si="3"/>
        <v>11.736806397713869</v>
      </c>
      <c r="G26" s="4">
        <f t="shared" ca="1" si="4"/>
        <v>17.103920908866794</v>
      </c>
    </row>
    <row r="27" spans="1:7" x14ac:dyDescent="0.25">
      <c r="A27" s="3">
        <f t="shared" si="0"/>
        <v>0.49000000000000016</v>
      </c>
      <c r="B27" s="4">
        <f t="shared" ref="B27:C42" ca="1" si="6">B26+_xlfn.NORM.INV(RAND(),0,SQRT(0.01))</f>
        <v>0.74447437536625638</v>
      </c>
      <c r="C27" s="4">
        <f t="shared" ca="1" si="6"/>
        <v>-8.2081343667945561E-2</v>
      </c>
      <c r="D27" s="4">
        <f t="shared" ca="1" si="1"/>
        <v>0.74447437536625638</v>
      </c>
      <c r="E27" s="4">
        <f t="shared" ca="1" si="2"/>
        <v>0.46251425864405327</v>
      </c>
      <c r="F27" s="4">
        <f t="shared" ca="1" si="3"/>
        <v>11.64969463484972</v>
      </c>
      <c r="G27" s="4">
        <f t="shared" ca="1" si="4"/>
        <v>16.866700031292471</v>
      </c>
    </row>
    <row r="28" spans="1:7" x14ac:dyDescent="0.25">
      <c r="A28" s="3">
        <f t="shared" si="0"/>
        <v>0.50000000000000011</v>
      </c>
      <c r="B28" s="4">
        <f t="shared" ca="1" si="6"/>
        <v>0.73734576839993082</v>
      </c>
      <c r="C28" s="4">
        <f t="shared" ca="1" si="6"/>
        <v>-2.1868366663419347E-2</v>
      </c>
      <c r="D28" s="4">
        <f t="shared" ca="1" si="1"/>
        <v>0.73734576839993082</v>
      </c>
      <c r="E28" s="4">
        <f t="shared" ca="1" si="2"/>
        <v>0.5005249003423573</v>
      </c>
      <c r="F28" s="4">
        <f t="shared" ca="1" si="3"/>
        <v>11.635424102545809</v>
      </c>
      <c r="G28" s="4">
        <f t="shared" ca="1" si="4"/>
        <v>17.029232500964977</v>
      </c>
    </row>
    <row r="29" spans="1:7" x14ac:dyDescent="0.25">
      <c r="A29" s="3">
        <f t="shared" si="0"/>
        <v>0.51000000000000012</v>
      </c>
      <c r="B29" s="4">
        <f t="shared" ca="1" si="6"/>
        <v>0.76220314473493356</v>
      </c>
      <c r="C29" s="4">
        <f t="shared" ca="1" si="6"/>
        <v>-4.9262792968991775E-2</v>
      </c>
      <c r="D29" s="4">
        <f t="shared" ca="1" si="1"/>
        <v>0.76220314473493356</v>
      </c>
      <c r="E29" s="4">
        <f t="shared" ca="1" si="2"/>
        <v>0.49836153029663555</v>
      </c>
      <c r="F29" s="4">
        <f t="shared" ca="1" si="3"/>
        <v>11.695752268871114</v>
      </c>
      <c r="G29" s="4">
        <f t="shared" ca="1" si="4"/>
        <v>17.021514175589953</v>
      </c>
    </row>
    <row r="30" spans="1:7" x14ac:dyDescent="0.25">
      <c r="A30" s="3">
        <f t="shared" si="0"/>
        <v>0.52000000000000013</v>
      </c>
      <c r="B30" s="4">
        <f t="shared" ca="1" si="6"/>
        <v>0.67670431349800375</v>
      </c>
      <c r="C30" s="4">
        <f t="shared" ca="1" si="6"/>
        <v>6.4472637472027389E-4</v>
      </c>
      <c r="D30" s="4">
        <f t="shared" ca="1" si="1"/>
        <v>0.67670431349800375</v>
      </c>
      <c r="E30" s="4">
        <f t="shared" ca="1" si="2"/>
        <v>0.47415344617470845</v>
      </c>
      <c r="F30" s="4">
        <f t="shared" ca="1" si="3"/>
        <v>11.499757586286094</v>
      </c>
      <c r="G30" s="4">
        <f t="shared" ca="1" si="4"/>
        <v>16.920291169780633</v>
      </c>
    </row>
    <row r="31" spans="1:7" x14ac:dyDescent="0.25">
      <c r="A31" s="3">
        <f t="shared" si="0"/>
        <v>0.53000000000000014</v>
      </c>
      <c r="B31" s="4">
        <f t="shared" ca="1" si="6"/>
        <v>0.66943591114508905</v>
      </c>
      <c r="C31" s="4">
        <f t="shared" ca="1" si="6"/>
        <v>0.13242112251323759</v>
      </c>
      <c r="D31" s="4">
        <f t="shared" ca="1" si="1"/>
        <v>0.66943591114508905</v>
      </c>
      <c r="E31" s="4">
        <f t="shared" ca="1" si="2"/>
        <v>0.56317273468712137</v>
      </c>
      <c r="F31" s="4">
        <f t="shared" ca="1" si="3"/>
        <v>11.485349598177489</v>
      </c>
      <c r="G31" s="4">
        <f t="shared" ca="1" si="4"/>
        <v>17.302584523612939</v>
      </c>
    </row>
    <row r="32" spans="1:7" x14ac:dyDescent="0.25">
      <c r="A32" s="3">
        <f t="shared" si="0"/>
        <v>0.54000000000000015</v>
      </c>
      <c r="B32" s="4">
        <f t="shared" ca="1" si="6"/>
        <v>0.92720725160250539</v>
      </c>
      <c r="C32" s="4">
        <f t="shared" ca="1" si="6"/>
        <v>0.15416852184742519</v>
      </c>
      <c r="D32" s="4">
        <f t="shared" ca="1" si="1"/>
        <v>0.92720725160250539</v>
      </c>
      <c r="E32" s="4">
        <f t="shared" ca="1" si="2"/>
        <v>0.75914342259251688</v>
      </c>
      <c r="F32" s="4">
        <f t="shared" ca="1" si="3"/>
        <v>12.095416066115806</v>
      </c>
      <c r="G32" s="4">
        <f t="shared" ca="1" si="4"/>
        <v>18.172983292682211</v>
      </c>
    </row>
    <row r="33" spans="1:16" x14ac:dyDescent="0.25">
      <c r="A33" s="3">
        <f t="shared" si="0"/>
        <v>0.55000000000000016</v>
      </c>
      <c r="B33" s="4">
        <f t="shared" ca="1" si="6"/>
        <v>0.89332928710234427</v>
      </c>
      <c r="C33" s="4">
        <f t="shared" ca="1" si="6"/>
        <v>0.15778321035412032</v>
      </c>
      <c r="D33" s="4">
        <f t="shared" ca="1" si="1"/>
        <v>0.89332928710234427</v>
      </c>
      <c r="E33" s="4">
        <f t="shared" ca="1" si="2"/>
        <v>0.73801025136860809</v>
      </c>
      <c r="F33" s="4">
        <f t="shared" ca="1" si="3"/>
        <v>12.016142455243541</v>
      </c>
      <c r="G33" s="4">
        <f t="shared" ca="1" si="4"/>
        <v>18.078805113850454</v>
      </c>
    </row>
    <row r="34" spans="1:16" x14ac:dyDescent="0.25">
      <c r="A34" s="3">
        <f t="shared" si="0"/>
        <v>0.56000000000000016</v>
      </c>
      <c r="B34" s="4">
        <f t="shared" ca="1" si="6"/>
        <v>1.006858843162572</v>
      </c>
      <c r="C34" s="4">
        <f t="shared" ca="1" si="6"/>
        <v>0.16540805026809799</v>
      </c>
      <c r="D34" s="4">
        <f t="shared" ca="1" si="1"/>
        <v>1.006858843162572</v>
      </c>
      <c r="E34" s="4">
        <f t="shared" ca="1" si="2"/>
        <v>0.82292616546324437</v>
      </c>
      <c r="F34" s="4">
        <f t="shared" ca="1" si="3"/>
        <v>12.294559674243551</v>
      </c>
      <c r="G34" s="4">
        <f t="shared" ca="1" si="4"/>
        <v>18.468318350864141</v>
      </c>
    </row>
    <row r="35" spans="1:16" x14ac:dyDescent="0.25">
      <c r="A35" s="3">
        <f t="shared" si="0"/>
        <v>0.57000000000000017</v>
      </c>
      <c r="B35" s="4">
        <f t="shared" ca="1" si="6"/>
        <v>1.1420665737393156</v>
      </c>
      <c r="C35" s="4">
        <f t="shared" ca="1" si="6"/>
        <v>0.24151492319200646</v>
      </c>
      <c r="D35" s="4">
        <f t="shared" ca="1" si="1"/>
        <v>1.1420665737393156</v>
      </c>
      <c r="E35" s="4">
        <f t="shared" ca="1" si="2"/>
        <v>0.97192275545759466</v>
      </c>
      <c r="F35" s="4">
        <f t="shared" ca="1" si="3"/>
        <v>12.634086104356477</v>
      </c>
      <c r="G35" s="4">
        <f t="shared" ca="1" si="4"/>
        <v>19.170897807889908</v>
      </c>
    </row>
    <row r="36" spans="1:16" x14ac:dyDescent="0.25">
      <c r="A36" s="3">
        <f t="shared" si="0"/>
        <v>0.58000000000000018</v>
      </c>
      <c r="B36" s="4">
        <f t="shared" ca="1" si="6"/>
        <v>1.104584295838118</v>
      </c>
      <c r="C36" s="4">
        <f t="shared" ca="1" si="6"/>
        <v>0.30625743225820101</v>
      </c>
      <c r="D36" s="4">
        <f t="shared" ca="1" si="1"/>
        <v>1.104584295838118</v>
      </c>
      <c r="E36" s="4">
        <f t="shared" ca="1" si="2"/>
        <v>0.99192056040480792</v>
      </c>
      <c r="F36" s="4">
        <f t="shared" ca="1" si="3"/>
        <v>12.542237548241797</v>
      </c>
      <c r="G36" s="4">
        <f t="shared" ca="1" si="4"/>
        <v>19.268667694694571</v>
      </c>
    </row>
    <row r="37" spans="1:16" x14ac:dyDescent="0.25">
      <c r="A37" s="3">
        <f t="shared" si="0"/>
        <v>0.59000000000000019</v>
      </c>
      <c r="B37" s="4">
        <f t="shared" ca="1" si="6"/>
        <v>0.93145260708862365</v>
      </c>
      <c r="C37" s="4">
        <f t="shared" ca="1" si="6"/>
        <v>0.33942451788959027</v>
      </c>
      <c r="D37" s="4">
        <f t="shared" ca="1" si="1"/>
        <v>0.93145260708862365</v>
      </c>
      <c r="E37" s="4">
        <f t="shared" ca="1" si="2"/>
        <v>0.89441441510215358</v>
      </c>
      <c r="F37" s="4">
        <f t="shared" ca="1" si="3"/>
        <v>12.117802040623523</v>
      </c>
      <c r="G37" s="4">
        <f t="shared" ca="1" si="4"/>
        <v>18.806288430263795</v>
      </c>
    </row>
    <row r="38" spans="1:16" x14ac:dyDescent="0.25">
      <c r="A38" s="3">
        <f t="shared" si="0"/>
        <v>0.6000000000000002</v>
      </c>
      <c r="B38" s="4">
        <f t="shared" ca="1" si="6"/>
        <v>0.99002064926428923</v>
      </c>
      <c r="C38" s="4">
        <f t="shared" ca="1" si="6"/>
        <v>0.3024910082174247</v>
      </c>
      <c r="D38" s="4">
        <f t="shared" ca="1" si="1"/>
        <v>0.99002064926428923</v>
      </c>
      <c r="E38" s="4">
        <f t="shared" ca="1" si="2"/>
        <v>0.90903624303125297</v>
      </c>
      <c r="F38" s="4">
        <f t="shared" ca="1" si="3"/>
        <v>12.263032178976019</v>
      </c>
      <c r="G38" s="4">
        <f t="shared" ca="1" si="4"/>
        <v>18.876811458851641</v>
      </c>
    </row>
    <row r="39" spans="1:16" x14ac:dyDescent="0.25">
      <c r="A39" s="3">
        <f t="shared" si="0"/>
        <v>0.61000000000000021</v>
      </c>
      <c r="B39" s="4">
        <f t="shared" ca="1" si="6"/>
        <v>1.0984819061431306</v>
      </c>
      <c r="C39" s="4">
        <f t="shared" ca="1" si="6"/>
        <v>0.36486699321689758</v>
      </c>
      <c r="D39" s="4">
        <f t="shared" ca="1" si="1"/>
        <v>1.0984819061431306</v>
      </c>
      <c r="E39" s="4">
        <f t="shared" ca="1" si="2"/>
        <v>1.0295044860998017</v>
      </c>
      <c r="F39" s="4">
        <f t="shared" ca="1" si="3"/>
        <v>12.534457780374211</v>
      </c>
      <c r="G39" s="4">
        <f t="shared" ca="1" si="4"/>
        <v>19.455675415212824</v>
      </c>
    </row>
    <row r="40" spans="1:16" x14ac:dyDescent="0.25">
      <c r="A40" s="3">
        <f t="shared" si="0"/>
        <v>0.62000000000000022</v>
      </c>
      <c r="B40" s="4">
        <f t="shared" ca="1" si="6"/>
        <v>1.0143006019952865</v>
      </c>
      <c r="C40" s="4">
        <f t="shared" ca="1" si="6"/>
        <v>0.28425811432697073</v>
      </c>
      <c r="D40" s="4">
        <f t="shared" ca="1" si="1"/>
        <v>1.0143006019952865</v>
      </c>
      <c r="E40" s="4">
        <f t="shared" ca="1" si="2"/>
        <v>0.91301131926656165</v>
      </c>
      <c r="F40" s="4">
        <f t="shared" ca="1" si="3"/>
        <v>12.327656243139343</v>
      </c>
      <c r="G40" s="4">
        <f t="shared" ca="1" si="4"/>
        <v>18.898886990100031</v>
      </c>
    </row>
    <row r="41" spans="1:16" x14ac:dyDescent="0.25">
      <c r="A41" s="3">
        <f t="shared" si="0"/>
        <v>0.63000000000000023</v>
      </c>
      <c r="B41" s="4">
        <f t="shared" ca="1" si="6"/>
        <v>0.97337549127611456</v>
      </c>
      <c r="C41" s="4">
        <f t="shared" ca="1" si="6"/>
        <v>0.1590374225768991</v>
      </c>
      <c r="D41" s="4">
        <f t="shared" ca="1" si="1"/>
        <v>0.97337549127611456</v>
      </c>
      <c r="E41" s="4">
        <f t="shared" ca="1" si="2"/>
        <v>0.79493828097256514</v>
      </c>
      <c r="F41" s="4">
        <f t="shared" ca="1" si="3"/>
        <v>12.229611600326313</v>
      </c>
      <c r="G41" s="4">
        <f t="shared" ca="1" si="4"/>
        <v>18.350783503828019</v>
      </c>
    </row>
    <row r="42" spans="1:16" x14ac:dyDescent="0.25">
      <c r="A42" s="3">
        <f t="shared" si="0"/>
        <v>0.64000000000000024</v>
      </c>
      <c r="B42" s="4">
        <f t="shared" ca="1" si="6"/>
        <v>0.94240810802365194</v>
      </c>
      <c r="C42" s="4">
        <f t="shared" ca="1" si="6"/>
        <v>3.8414447523392709E-2</v>
      </c>
      <c r="D42" s="4">
        <f t="shared" ca="1" si="1"/>
        <v>0.94240810802365194</v>
      </c>
      <c r="E42" s="4">
        <f t="shared" ca="1" si="2"/>
        <v>0.68711907837758879</v>
      </c>
      <c r="F42" s="4">
        <f t="shared" ca="1" si="3"/>
        <v>12.156532925181168</v>
      </c>
      <c r="G42" s="4">
        <f t="shared" ca="1" si="4"/>
        <v>17.864311839541671</v>
      </c>
    </row>
    <row r="43" spans="1:16" x14ac:dyDescent="0.25">
      <c r="A43" s="3">
        <f t="shared" si="0"/>
        <v>0.65000000000000024</v>
      </c>
      <c r="B43" s="4">
        <f t="shared" ref="B43:C58" ca="1" si="7">B42+_xlfn.NORM.INV(RAND(),0,SQRT(0.01))</f>
        <v>0.87135424810864714</v>
      </c>
      <c r="C43" s="4">
        <f t="shared" ca="1" si="7"/>
        <v>-4.8674420580344893E-2</v>
      </c>
      <c r="D43" s="4">
        <f t="shared" ca="1" si="1"/>
        <v>0.87135424810864714</v>
      </c>
      <c r="E43" s="4">
        <f t="shared" ca="1" si="2"/>
        <v>0.57518748458852031</v>
      </c>
      <c r="F43" s="4">
        <f t="shared" ca="1" si="3"/>
        <v>11.987398135527346</v>
      </c>
      <c r="G43" s="4">
        <f t="shared" ca="1" si="4"/>
        <v>17.372866147415383</v>
      </c>
    </row>
    <row r="44" spans="1:16" x14ac:dyDescent="0.25">
      <c r="A44" s="3">
        <f t="shared" si="0"/>
        <v>0.66000000000000025</v>
      </c>
      <c r="B44" s="4">
        <f t="shared" ca="1" si="7"/>
        <v>0.82226631120517868</v>
      </c>
      <c r="C44" s="4">
        <f t="shared" ca="1" si="7"/>
        <v>-6.8523805952429545E-2</v>
      </c>
      <c r="D44" s="4">
        <f t="shared" ca="1" si="1"/>
        <v>0.82226631120517868</v>
      </c>
      <c r="E44" s="4">
        <f t="shared" ca="1" si="2"/>
        <v>0.5266506322575617</v>
      </c>
      <c r="F44" s="4">
        <f t="shared" ca="1" si="3"/>
        <v>11.872660918509098</v>
      </c>
      <c r="G44" s="4">
        <f t="shared" ca="1" si="4"/>
        <v>17.164835770476117</v>
      </c>
    </row>
    <row r="45" spans="1:16" x14ac:dyDescent="0.25">
      <c r="A45" s="3">
        <f t="shared" si="0"/>
        <v>0.67000000000000026</v>
      </c>
      <c r="B45" s="4">
        <f t="shared" ca="1" si="7"/>
        <v>0.67588431147490824</v>
      </c>
      <c r="C45" s="4">
        <f t="shared" ca="1" si="7"/>
        <v>-0.21625220999396061</v>
      </c>
      <c r="D45" s="4">
        <f t="shared" ca="1" si="1"/>
        <v>0.67588431147490824</v>
      </c>
      <c r="E45" s="4">
        <f t="shared" ca="1" si="2"/>
        <v>0.31868405001382688</v>
      </c>
      <c r="F45" s="4">
        <f t="shared" ca="1" si="3"/>
        <v>11.532417183560304</v>
      </c>
      <c r="G45" s="4">
        <f t="shared" ca="1" si="4"/>
        <v>16.296636121579539</v>
      </c>
    </row>
    <row r="46" spans="1:16" x14ac:dyDescent="0.25">
      <c r="A46" s="3">
        <f t="shared" si="0"/>
        <v>0.68000000000000027</v>
      </c>
      <c r="B46" s="4">
        <f t="shared" ca="1" si="7"/>
        <v>0.75020200923790537</v>
      </c>
      <c r="C46" s="4">
        <f t="shared" ca="1" si="7"/>
        <v>-4.2400206781733424E-2</v>
      </c>
      <c r="D46" s="4">
        <f t="shared" ca="1" si="1"/>
        <v>0.75020200923790537</v>
      </c>
      <c r="E46" s="4">
        <f t="shared" ca="1" si="2"/>
        <v>0.49486160225781711</v>
      </c>
      <c r="F46" s="4">
        <f t="shared" ca="1" si="3"/>
        <v>11.707451212210385</v>
      </c>
      <c r="G46" s="4">
        <f t="shared" ca="1" si="4"/>
        <v>17.031943352947881</v>
      </c>
      <c r="I46" s="6"/>
      <c r="J46" s="7"/>
      <c r="K46" s="7"/>
      <c r="L46" s="7"/>
      <c r="M46" s="7"/>
      <c r="N46" s="7"/>
      <c r="O46" s="7"/>
      <c r="P46" s="7"/>
    </row>
    <row r="47" spans="1:16" x14ac:dyDescent="0.25">
      <c r="A47" s="3">
        <f t="shared" si="0"/>
        <v>0.69000000000000028</v>
      </c>
      <c r="B47" s="4">
        <f t="shared" ca="1" si="7"/>
        <v>0.74443852290556878</v>
      </c>
      <c r="C47" s="4">
        <f t="shared" ca="1" si="7"/>
        <v>-7.3220491796324755E-2</v>
      </c>
      <c r="D47" s="4">
        <f t="shared" ca="1" si="1"/>
        <v>0.74443852290556878</v>
      </c>
      <c r="E47" s="4">
        <f t="shared" ca="1" si="2"/>
        <v>0.46881707586728194</v>
      </c>
      <c r="F47" s="4">
        <f t="shared" ca="1" si="3"/>
        <v>11.696302866785535</v>
      </c>
      <c r="G47" s="4">
        <f t="shared" ca="1" si="4"/>
        <v>16.922887067157692</v>
      </c>
      <c r="I47" s="6"/>
      <c r="J47" s="7"/>
      <c r="K47" s="7"/>
      <c r="L47" s="7"/>
      <c r="M47" s="7"/>
      <c r="N47" s="7"/>
      <c r="O47" s="7"/>
      <c r="P47" s="7"/>
    </row>
    <row r="48" spans="1:16" x14ac:dyDescent="0.25">
      <c r="A48" s="3">
        <f t="shared" si="0"/>
        <v>0.70000000000000029</v>
      </c>
      <c r="B48" s="4">
        <f t="shared" ca="1" si="7"/>
        <v>0.66543246386117383</v>
      </c>
      <c r="C48" s="4">
        <f t="shared" ca="1" si="7"/>
        <v>-4.0665088722617808E-2</v>
      </c>
      <c r="D48" s="4">
        <f t="shared" ca="1" si="1"/>
        <v>0.66543246386117383</v>
      </c>
      <c r="E48" s="4">
        <f t="shared" ca="1" si="2"/>
        <v>0.4367620426375296</v>
      </c>
      <c r="F48" s="4">
        <f t="shared" ca="1" si="3"/>
        <v>11.515242422015957</v>
      </c>
      <c r="G48" s="4">
        <f t="shared" ca="1" si="4"/>
        <v>16.789282086234145</v>
      </c>
      <c r="I48" s="6"/>
      <c r="J48" s="7"/>
      <c r="K48" s="7"/>
      <c r="L48" s="7"/>
      <c r="M48" s="7"/>
      <c r="N48" s="7"/>
      <c r="O48" s="7"/>
      <c r="P48" s="7"/>
    </row>
    <row r="49" spans="1:16" x14ac:dyDescent="0.25">
      <c r="A49" s="3">
        <f t="shared" si="0"/>
        <v>0.7100000000000003</v>
      </c>
      <c r="B49" s="4">
        <f t="shared" ca="1" si="7"/>
        <v>0.54210905615144322</v>
      </c>
      <c r="C49" s="4">
        <f t="shared" ca="1" si="7"/>
        <v>-0.10412164635116003</v>
      </c>
      <c r="D49" s="4">
        <f t="shared" ca="1" si="1"/>
        <v>0.54210905615144322</v>
      </c>
      <c r="E49" s="4">
        <f t="shared" ca="1" si="2"/>
        <v>0.3051186107781243</v>
      </c>
      <c r="F49" s="4">
        <f t="shared" ca="1" si="3"/>
        <v>11.236943807258521</v>
      </c>
      <c r="G49" s="4">
        <f t="shared" ca="1" si="4"/>
        <v>16.247147481985358</v>
      </c>
      <c r="I49" s="6"/>
      <c r="J49" s="7"/>
      <c r="K49" s="7"/>
      <c r="L49" s="7"/>
      <c r="M49" s="7"/>
      <c r="N49" s="7"/>
      <c r="O49" s="7"/>
      <c r="P49" s="7"/>
    </row>
    <row r="50" spans="1:16" x14ac:dyDescent="0.25">
      <c r="A50" s="3">
        <f t="shared" si="0"/>
        <v>0.72000000000000031</v>
      </c>
      <c r="B50" s="4">
        <f t="shared" ca="1" si="7"/>
        <v>0.63866410858956568</v>
      </c>
      <c r="C50" s="4">
        <f t="shared" ca="1" si="7"/>
        <v>-0.26111557505733507</v>
      </c>
      <c r="D50" s="4">
        <f t="shared" ca="1" si="1"/>
        <v>0.63866410858956568</v>
      </c>
      <c r="E50" s="4">
        <f t="shared" ca="1" si="2"/>
        <v>0.26059105692771922</v>
      </c>
      <c r="F50" s="4">
        <f t="shared" ca="1" si="3"/>
        <v>11.458340751384345</v>
      </c>
      <c r="G50" s="4">
        <f t="shared" ca="1" si="4"/>
        <v>16.068694937342098</v>
      </c>
      <c r="I50" s="6"/>
      <c r="J50" s="7"/>
      <c r="K50" s="7"/>
      <c r="L50" s="7"/>
      <c r="M50" s="7"/>
      <c r="N50" s="7"/>
      <c r="O50" s="7"/>
      <c r="P50" s="7"/>
    </row>
    <row r="51" spans="1:16" x14ac:dyDescent="0.25">
      <c r="A51" s="3">
        <f t="shared" si="0"/>
        <v>0.73000000000000032</v>
      </c>
      <c r="B51" s="4">
        <f t="shared" ca="1" si="7"/>
        <v>0.76482452595424411</v>
      </c>
      <c r="C51" s="4">
        <f t="shared" ca="1" si="7"/>
        <v>-0.23351712630642774</v>
      </c>
      <c r="D51" s="4">
        <f t="shared" ca="1" si="1"/>
        <v>0.76482452595424411</v>
      </c>
      <c r="E51" s="4">
        <f t="shared" ca="1" si="2"/>
        <v>0.36861258373233541</v>
      </c>
      <c r="F51" s="4">
        <f t="shared" ca="1" si="3"/>
        <v>11.753487419171506</v>
      </c>
      <c r="G51" s="4">
        <f t="shared" ca="1" si="4"/>
        <v>16.50999321609617</v>
      </c>
      <c r="I51" s="6"/>
      <c r="J51" s="7"/>
      <c r="K51" s="7"/>
      <c r="L51" s="7"/>
      <c r="M51" s="7"/>
      <c r="N51" s="7"/>
      <c r="O51" s="7"/>
      <c r="P51" s="7"/>
    </row>
    <row r="52" spans="1:16" x14ac:dyDescent="0.25">
      <c r="A52" s="3">
        <f t="shared" si="0"/>
        <v>0.74000000000000032</v>
      </c>
      <c r="B52" s="4">
        <f t="shared" ca="1" si="7"/>
        <v>0.67618330489934408</v>
      </c>
      <c r="C52" s="4">
        <f t="shared" ca="1" si="7"/>
        <v>-0.26464241950936684</v>
      </c>
      <c r="D52" s="4">
        <f t="shared" ca="1" si="1"/>
        <v>0.67618330489934408</v>
      </c>
      <c r="E52" s="4">
        <f t="shared" ca="1" si="2"/>
        <v>0.28433582362128529</v>
      </c>
      <c r="F52" s="4">
        <f t="shared" ca="1" si="3"/>
        <v>11.549264484840746</v>
      </c>
      <c r="G52" s="4">
        <f t="shared" ca="1" si="4"/>
        <v>16.167194480286536</v>
      </c>
      <c r="I52" s="6"/>
      <c r="J52" s="7"/>
      <c r="K52" s="7"/>
      <c r="L52" s="7"/>
      <c r="M52" s="7"/>
      <c r="N52" s="7"/>
      <c r="O52" s="7"/>
      <c r="P52" s="7"/>
    </row>
    <row r="53" spans="1:16" x14ac:dyDescent="0.25">
      <c r="A53" s="3">
        <f t="shared" si="0"/>
        <v>0.75000000000000033</v>
      </c>
      <c r="B53" s="4">
        <f t="shared" ca="1" si="7"/>
        <v>0.78723941802899633</v>
      </c>
      <c r="C53" s="4">
        <f t="shared" ca="1" si="7"/>
        <v>-6.7039356722694565E-3</v>
      </c>
      <c r="D53" s="4">
        <f t="shared" ca="1" si="1"/>
        <v>0.78723941802899633</v>
      </c>
      <c r="E53" s="4">
        <f t="shared" ca="1" si="2"/>
        <v>0.54628002494099059</v>
      </c>
      <c r="F53" s="4">
        <f t="shared" ca="1" si="3"/>
        <v>11.811019794899851</v>
      </c>
      <c r="G53" s="4">
        <f t="shared" ca="1" si="4"/>
        <v>17.262865772117927</v>
      </c>
      <c r="I53" s="6"/>
      <c r="J53" s="7"/>
      <c r="K53" s="7"/>
      <c r="L53" s="7"/>
      <c r="M53" s="7"/>
      <c r="N53" s="7"/>
      <c r="O53" s="7"/>
      <c r="P53" s="7"/>
    </row>
    <row r="54" spans="1:16" x14ac:dyDescent="0.25">
      <c r="A54" s="3">
        <f t="shared" si="0"/>
        <v>0.76000000000000034</v>
      </c>
      <c r="B54" s="4">
        <f t="shared" ca="1" si="7"/>
        <v>0.84437275344598928</v>
      </c>
      <c r="C54" s="4">
        <f t="shared" ca="1" si="7"/>
        <v>-2.9143800369945835E-2</v>
      </c>
      <c r="D54" s="4">
        <f t="shared" ca="1" si="1"/>
        <v>0.84437275344598928</v>
      </c>
      <c r="E54" s="4">
        <f t="shared" ca="1" si="2"/>
        <v>0.57024809096442153</v>
      </c>
      <c r="F54" s="4">
        <f t="shared" ca="1" si="3"/>
        <v>11.949143996063556</v>
      </c>
      <c r="G54" s="4">
        <f t="shared" ca="1" si="4"/>
        <v>17.368135319258048</v>
      </c>
      <c r="I54" s="6"/>
      <c r="J54" s="7"/>
      <c r="K54" s="7"/>
      <c r="L54" s="7"/>
      <c r="M54" s="7"/>
      <c r="N54" s="7"/>
      <c r="O54" s="7"/>
      <c r="P54" s="7"/>
    </row>
    <row r="55" spans="1:16" x14ac:dyDescent="0.25">
      <c r="A55" s="3">
        <f t="shared" si="0"/>
        <v>0.77000000000000035</v>
      </c>
      <c r="B55" s="4">
        <f t="shared" ca="1" si="7"/>
        <v>0.58578423313001327</v>
      </c>
      <c r="C55" s="4">
        <f t="shared" ca="1" si="7"/>
        <v>3.5171425366340492E-2</v>
      </c>
      <c r="D55" s="4">
        <f t="shared" ca="1" si="1"/>
        <v>0.58578423313001327</v>
      </c>
      <c r="E55" s="4">
        <f t="shared" ca="1" si="2"/>
        <v>0.43516638488936499</v>
      </c>
      <c r="F55" s="4">
        <f t="shared" ca="1" si="3"/>
        <v>11.349139653720815</v>
      </c>
      <c r="G55" s="4">
        <f t="shared" ca="1" si="4"/>
        <v>16.792868417480864</v>
      </c>
      <c r="I55" s="6"/>
      <c r="J55" s="7"/>
      <c r="K55" s="7"/>
      <c r="L55" s="7"/>
      <c r="M55" s="7"/>
      <c r="N55" s="7"/>
      <c r="O55" s="7"/>
      <c r="P55" s="7"/>
    </row>
    <row r="56" spans="1:16" x14ac:dyDescent="0.25">
      <c r="A56" s="3">
        <f t="shared" si="0"/>
        <v>0.78000000000000036</v>
      </c>
      <c r="B56" s="4">
        <f t="shared" ca="1" si="7"/>
        <v>0.63028093619289316</v>
      </c>
      <c r="C56" s="4">
        <f t="shared" ca="1" si="7"/>
        <v>6.4451924301139607E-2</v>
      </c>
      <c r="D56" s="4">
        <f t="shared" ca="1" si="1"/>
        <v>0.63028093619289316</v>
      </c>
      <c r="E56" s="4">
        <f t="shared" ca="1" si="2"/>
        <v>0.48722453578287017</v>
      </c>
      <c r="F56" s="4">
        <f t="shared" ca="1" si="3"/>
        <v>11.452880612454878</v>
      </c>
      <c r="G56" s="4">
        <f t="shared" ca="1" si="4"/>
        <v>17.014336888944186</v>
      </c>
      <c r="I56" s="6"/>
      <c r="J56" s="7"/>
      <c r="K56" s="7"/>
      <c r="L56" s="7"/>
      <c r="M56" s="7"/>
      <c r="N56" s="7"/>
      <c r="O56" s="7"/>
      <c r="P56" s="7"/>
    </row>
    <row r="57" spans="1:16" x14ac:dyDescent="0.25">
      <c r="A57" s="3">
        <f t="shared" si="0"/>
        <v>0.79000000000000037</v>
      </c>
      <c r="B57" s="4">
        <f t="shared" ca="1" si="7"/>
        <v>0.55417955632052518</v>
      </c>
      <c r="C57" s="4">
        <f t="shared" ca="1" si="7"/>
        <v>-4.6953269789079988E-2</v>
      </c>
      <c r="D57" s="4">
        <f t="shared" ca="1" si="1"/>
        <v>0.55417955632052518</v>
      </c>
      <c r="E57" s="4">
        <f t="shared" ca="1" si="2"/>
        <v>0.3543943478558898</v>
      </c>
      <c r="F57" s="4">
        <f t="shared" ca="1" si="3"/>
        <v>11.282140675462248</v>
      </c>
      <c r="G57" s="4">
        <f t="shared" ca="1" si="4"/>
        <v>16.460050907850803</v>
      </c>
      <c r="I57" s="6"/>
      <c r="J57" s="7"/>
      <c r="K57" s="7"/>
      <c r="L57" s="7"/>
      <c r="M57" s="7"/>
      <c r="N57" s="7"/>
      <c r="O57" s="7"/>
      <c r="P57" s="7"/>
    </row>
    <row r="58" spans="1:16" x14ac:dyDescent="0.25">
      <c r="A58" s="3">
        <f t="shared" si="0"/>
        <v>0.80000000000000038</v>
      </c>
      <c r="B58" s="4">
        <f t="shared" ca="1" si="7"/>
        <v>0.56792145998157206</v>
      </c>
      <c r="C58" s="4">
        <f t="shared" ca="1" si="7"/>
        <v>-1.309930300234987E-2</v>
      </c>
      <c r="D58" s="4">
        <f t="shared" ca="1" si="1"/>
        <v>0.56792145998157206</v>
      </c>
      <c r="E58" s="4">
        <f t="shared" ca="1" si="2"/>
        <v>0.38819024850159262</v>
      </c>
      <c r="F58" s="4">
        <f t="shared" ca="1" si="3"/>
        <v>11.315453807413602</v>
      </c>
      <c r="G58" s="4">
        <f t="shared" ca="1" si="4"/>
        <v>16.601163167310688</v>
      </c>
      <c r="I58" s="6"/>
      <c r="J58" s="7"/>
      <c r="K58" s="7"/>
      <c r="L58" s="7"/>
      <c r="M58" s="7"/>
      <c r="N58" s="7"/>
      <c r="O58" s="7"/>
      <c r="P58" s="7"/>
    </row>
    <row r="59" spans="1:16" x14ac:dyDescent="0.25">
      <c r="A59" s="3">
        <f t="shared" si="0"/>
        <v>0.81000000000000039</v>
      </c>
      <c r="B59" s="4">
        <f t="shared" ref="B59:C74" ca="1" si="8">B58+_xlfn.NORM.INV(RAND(),0,SQRT(0.01))</f>
        <v>0.54803841119098362</v>
      </c>
      <c r="C59" s="4">
        <f t="shared" ca="1" si="8"/>
        <v>-5.5262989494268992E-2</v>
      </c>
      <c r="D59" s="4">
        <f t="shared" ca="1" si="1"/>
        <v>0.54803841119098362</v>
      </c>
      <c r="E59" s="4">
        <f t="shared" ca="1" si="2"/>
        <v>0.34416121941162481</v>
      </c>
      <c r="F59" s="4">
        <f t="shared" ca="1" si="3"/>
        <v>11.272800347579707</v>
      </c>
      <c r="G59" s="4">
        <f t="shared" ca="1" si="4"/>
        <v>16.420868672681323</v>
      </c>
      <c r="I59" s="6"/>
      <c r="J59" s="7"/>
      <c r="K59" s="7"/>
      <c r="L59" s="7"/>
      <c r="M59" s="7"/>
      <c r="N59" s="7"/>
      <c r="O59" s="7"/>
      <c r="P59" s="7"/>
    </row>
    <row r="60" spans="1:16" x14ac:dyDescent="0.25">
      <c r="A60" s="3">
        <f t="shared" si="0"/>
        <v>0.8200000000000004</v>
      </c>
      <c r="B60" s="4">
        <f t="shared" ca="1" si="8"/>
        <v>0.57146245561663667</v>
      </c>
      <c r="C60" s="4">
        <f t="shared" ca="1" si="8"/>
        <v>2.4828048259882482E-3</v>
      </c>
      <c r="D60" s="4">
        <f t="shared" ca="1" si="1"/>
        <v>0.57146245561663667</v>
      </c>
      <c r="E60" s="4">
        <f t="shared" ca="1" si="2"/>
        <v>0.4017967962283292</v>
      </c>
      <c r="F60" s="4">
        <f t="shared" ca="1" si="3"/>
        <v>11.328000534296564</v>
      </c>
      <c r="G60" s="4">
        <f t="shared" ca="1" si="4"/>
        <v>16.660645811103969</v>
      </c>
      <c r="I60" s="6"/>
      <c r="J60" s="7"/>
      <c r="K60" s="7"/>
      <c r="L60" s="7"/>
      <c r="M60" s="7"/>
      <c r="N60" s="7"/>
      <c r="O60" s="7"/>
      <c r="P60" s="7"/>
    </row>
    <row r="61" spans="1:16" x14ac:dyDescent="0.25">
      <c r="A61" s="3">
        <f t="shared" si="0"/>
        <v>0.8300000000000004</v>
      </c>
      <c r="B61" s="4">
        <f t="shared" ca="1" si="8"/>
        <v>0.43482179370217339</v>
      </c>
      <c r="C61" s="4">
        <f t="shared" ca="1" si="8"/>
        <v>-8.2607371358482923E-2</v>
      </c>
      <c r="D61" s="4">
        <f t="shared" ca="1" si="1"/>
        <v>0.43482179370217339</v>
      </c>
      <c r="E61" s="4">
        <f t="shared" ca="1" si="2"/>
        <v>0.24538179256885473</v>
      </c>
      <c r="F61" s="4">
        <f t="shared" ca="1" si="3"/>
        <v>11.024823936583152</v>
      </c>
      <c r="G61" s="4">
        <f t="shared" ca="1" si="4"/>
        <v>16.023127531068447</v>
      </c>
      <c r="I61" s="6"/>
      <c r="J61" s="7"/>
      <c r="K61" s="7"/>
      <c r="L61" s="7"/>
      <c r="M61" s="7"/>
      <c r="N61" s="7"/>
      <c r="O61" s="7"/>
      <c r="P61" s="7"/>
    </row>
    <row r="62" spans="1:16" x14ac:dyDescent="0.25">
      <c r="A62" s="3">
        <f t="shared" si="0"/>
        <v>0.84000000000000041</v>
      </c>
      <c r="B62" s="4">
        <f t="shared" ca="1" si="8"/>
        <v>0.25471129005560494</v>
      </c>
      <c r="C62" s="4">
        <f t="shared" ca="1" si="8"/>
        <v>-0.13043456638900955</v>
      </c>
      <c r="D62" s="4">
        <f t="shared" ca="1" si="1"/>
        <v>0.25471129005560494</v>
      </c>
      <c r="E62" s="4">
        <f t="shared" ca="1" si="2"/>
        <v>8.5148990991410212E-2</v>
      </c>
      <c r="F62" s="4">
        <f t="shared" ca="1" si="3"/>
        <v>10.636881522941806</v>
      </c>
      <c r="G62" s="4">
        <f t="shared" ca="1" si="4"/>
        <v>15.395302783733541</v>
      </c>
      <c r="I62" s="6"/>
      <c r="J62" s="7"/>
      <c r="K62" s="7"/>
      <c r="L62" s="7"/>
      <c r="M62" s="7"/>
      <c r="N62" s="7"/>
      <c r="O62" s="7"/>
      <c r="P62" s="7"/>
    </row>
    <row r="63" spans="1:16" x14ac:dyDescent="0.25">
      <c r="A63" s="3">
        <f t="shared" si="0"/>
        <v>0.85000000000000042</v>
      </c>
      <c r="B63" s="4">
        <f t="shared" ca="1" si="8"/>
        <v>0.19181484523949666</v>
      </c>
      <c r="C63" s="4">
        <f t="shared" ca="1" si="8"/>
        <v>-0.2142054606764307</v>
      </c>
      <c r="D63" s="4">
        <f t="shared" ca="1" si="1"/>
        <v>0.19181484523949666</v>
      </c>
      <c r="E63" s="4">
        <f t="shared" ca="1" si="2"/>
        <v>-1.8702904974730317E-2</v>
      </c>
      <c r="F63" s="4">
        <f t="shared" ca="1" si="3"/>
        <v>10.506016174106351</v>
      </c>
      <c r="G63" s="4">
        <f t="shared" ca="1" si="4"/>
        <v>15.002051746654111</v>
      </c>
      <c r="I63" s="6"/>
      <c r="J63" s="7"/>
      <c r="K63" s="7"/>
      <c r="L63" s="7"/>
      <c r="M63" s="7"/>
      <c r="N63" s="7"/>
      <c r="O63" s="7"/>
      <c r="P63" s="7"/>
    </row>
    <row r="64" spans="1:16" x14ac:dyDescent="0.25">
      <c r="A64" s="3">
        <f t="shared" si="0"/>
        <v>0.86000000000000043</v>
      </c>
      <c r="B64" s="4">
        <f t="shared" ca="1" si="8"/>
        <v>4.8339619252262905E-2</v>
      </c>
      <c r="C64" s="4">
        <f t="shared" ca="1" si="8"/>
        <v>-0.17410190900624886</v>
      </c>
      <c r="D64" s="4">
        <f t="shared" ca="1" si="1"/>
        <v>4.8339619252262905E-2</v>
      </c>
      <c r="E64" s="4">
        <f t="shared" ca="1" si="2"/>
        <v>-9.0495898767496571E-2</v>
      </c>
      <c r="F64" s="4">
        <f t="shared" ca="1" si="3"/>
        <v>10.210871814678779</v>
      </c>
      <c r="G64" s="4">
        <f t="shared" ca="1" si="4"/>
        <v>14.736482566181094</v>
      </c>
      <c r="I64" s="6"/>
      <c r="J64" s="7"/>
      <c r="K64" s="7"/>
      <c r="L64" s="7"/>
      <c r="M64" s="7"/>
      <c r="N64" s="7"/>
      <c r="O64" s="7"/>
      <c r="P64" s="7"/>
    </row>
    <row r="65" spans="1:16" x14ac:dyDescent="0.25">
      <c r="A65" s="3">
        <f t="shared" si="0"/>
        <v>0.87000000000000044</v>
      </c>
      <c r="B65" s="4">
        <f t="shared" ca="1" si="8"/>
        <v>-8.0437818209383227E-2</v>
      </c>
      <c r="C65" s="4">
        <f t="shared" ca="1" si="8"/>
        <v>-0.20159243944896252</v>
      </c>
      <c r="D65" s="4">
        <f t="shared" ca="1" si="1"/>
        <v>-8.0437818209383227E-2</v>
      </c>
      <c r="E65" s="4">
        <f t="shared" ca="1" si="2"/>
        <v>-0.20027227055258065</v>
      </c>
      <c r="F65" s="4">
        <f t="shared" ca="1" si="3"/>
        <v>9.953234058378337</v>
      </c>
      <c r="G65" s="4">
        <f t="shared" ca="1" si="4"/>
        <v>14.33880693714887</v>
      </c>
      <c r="I65" s="6"/>
      <c r="J65" s="7"/>
      <c r="K65" s="7"/>
      <c r="L65" s="7"/>
      <c r="M65" s="7"/>
      <c r="N65" s="7"/>
      <c r="O65" s="7"/>
      <c r="P65" s="7"/>
    </row>
    <row r="66" spans="1:16" x14ac:dyDescent="0.25">
      <c r="A66" s="3">
        <f t="shared" si="0"/>
        <v>0.88000000000000045</v>
      </c>
      <c r="B66" s="4">
        <f t="shared" ca="1" si="8"/>
        <v>-0.15024958506197952</v>
      </c>
      <c r="C66" s="4">
        <f t="shared" ca="1" si="8"/>
        <v>-0.37477815281561855</v>
      </c>
      <c r="D66" s="4">
        <f t="shared" ca="1" si="1"/>
        <v>-0.15024958506197952</v>
      </c>
      <c r="E66" s="4">
        <f t="shared" ca="1" si="2"/>
        <v>-0.37281984503480914</v>
      </c>
      <c r="F66" s="4">
        <f t="shared" ca="1" si="3"/>
        <v>9.8171924079315342</v>
      </c>
      <c r="G66" s="4">
        <f t="shared" ca="1" si="4"/>
        <v>13.734628065305239</v>
      </c>
      <c r="I66" s="6"/>
      <c r="J66" s="7"/>
      <c r="K66" s="7"/>
      <c r="L66" s="7"/>
      <c r="M66" s="7"/>
      <c r="N66" s="7"/>
      <c r="O66" s="7"/>
      <c r="P66" s="7"/>
    </row>
    <row r="67" spans="1:16" x14ac:dyDescent="0.25">
      <c r="A67" s="3">
        <f t="shared" si="0"/>
        <v>0.89000000000000046</v>
      </c>
      <c r="B67" s="4">
        <f t="shared" ca="1" si="8"/>
        <v>-3.9491896437713586E-2</v>
      </c>
      <c r="C67" s="4">
        <f t="shared" ca="1" si="8"/>
        <v>-0.33043566947643954</v>
      </c>
      <c r="D67" s="4">
        <f t="shared" ca="1" si="1"/>
        <v>-3.9491896437713586E-2</v>
      </c>
      <c r="E67" s="4">
        <f t="shared" ca="1" si="2"/>
        <v>-0.26362259588676296</v>
      </c>
      <c r="F67" s="4">
        <f t="shared" ca="1" si="3"/>
        <v>10.039092419430428</v>
      </c>
      <c r="G67" s="4">
        <f t="shared" ca="1" si="4"/>
        <v>14.115973833442022</v>
      </c>
      <c r="I67" s="6"/>
      <c r="J67" s="7"/>
      <c r="K67" s="7"/>
      <c r="L67" s="7"/>
      <c r="M67" s="7"/>
      <c r="N67" s="7"/>
      <c r="O67" s="7"/>
      <c r="P67" s="7"/>
    </row>
    <row r="68" spans="1:16" x14ac:dyDescent="0.25">
      <c r="A68" s="3">
        <f t="shared" si="0"/>
        <v>0.90000000000000047</v>
      </c>
      <c r="B68" s="4">
        <f t="shared" ca="1" si="8"/>
        <v>-6.8596195804727034E-2</v>
      </c>
      <c r="C68" s="4">
        <f t="shared" ca="1" si="8"/>
        <v>-0.28613622494578428</v>
      </c>
      <c r="D68" s="4">
        <f t="shared" ca="1" si="1"/>
        <v>-6.8596195804727034E-2</v>
      </c>
      <c r="E68" s="4">
        <f t="shared" ca="1" si="2"/>
        <v>-0.25235947418968446</v>
      </c>
      <c r="F68" s="4">
        <f t="shared" ca="1" si="3"/>
        <v>9.982822378841151</v>
      </c>
      <c r="G68" s="4">
        <f t="shared" ca="1" si="4"/>
        <v>14.157016013592422</v>
      </c>
      <c r="I68" s="6"/>
      <c r="J68" s="7"/>
      <c r="K68" s="7"/>
      <c r="L68" s="7"/>
      <c r="M68" s="7"/>
      <c r="N68" s="7"/>
      <c r="O68" s="7"/>
      <c r="P68" s="7"/>
    </row>
    <row r="69" spans="1:16" x14ac:dyDescent="0.25">
      <c r="A69" s="3">
        <f t="shared" si="0"/>
        <v>0.91000000000000048</v>
      </c>
      <c r="B69" s="4">
        <f t="shared" ca="1" si="8"/>
        <v>-2.4039714999437856E-2</v>
      </c>
      <c r="C69" s="4">
        <f t="shared" ca="1" si="8"/>
        <v>-0.27083357950302878</v>
      </c>
      <c r="D69" s="4">
        <f t="shared" ca="1" si="1"/>
        <v>-2.4039714999437856E-2</v>
      </c>
      <c r="E69" s="4">
        <f t="shared" ca="1" si="2"/>
        <v>-0.21024166290630147</v>
      </c>
      <c r="F69" s="4">
        <f t="shared" ca="1" si="3"/>
        <v>10.074194456981388</v>
      </c>
      <c r="G69" s="4">
        <f t="shared" ca="1" si="4"/>
        <v>14.308121103122083</v>
      </c>
      <c r="I69" s="6"/>
      <c r="J69" s="7"/>
      <c r="K69" s="7"/>
      <c r="L69" s="7"/>
      <c r="M69" s="7"/>
      <c r="N69" s="7"/>
      <c r="O69" s="7"/>
      <c r="P69" s="7"/>
    </row>
    <row r="70" spans="1:16" x14ac:dyDescent="0.25">
      <c r="A70" s="3">
        <f t="shared" si="0"/>
        <v>0.92000000000000048</v>
      </c>
      <c r="B70" s="4">
        <f t="shared" ca="1" si="8"/>
        <v>-8.5344879459289341E-2</v>
      </c>
      <c r="C70" s="4">
        <f t="shared" ca="1" si="8"/>
        <v>-0.16832606038084283</v>
      </c>
      <c r="D70" s="4">
        <f t="shared" ca="1" si="1"/>
        <v>-8.5344879459289341E-2</v>
      </c>
      <c r="E70" s="4">
        <f t="shared" ca="1" si="2"/>
        <v>-0.17995026690833965</v>
      </c>
      <c r="F70" s="4">
        <f t="shared" ca="1" si="3"/>
        <v>9.9534190683243455</v>
      </c>
      <c r="G70" s="4">
        <f t="shared" ca="1" si="4"/>
        <v>14.418147185357762</v>
      </c>
      <c r="I70" s="6"/>
      <c r="J70" s="7"/>
      <c r="K70" s="7"/>
      <c r="L70" s="7"/>
      <c r="M70" s="7"/>
      <c r="N70" s="7"/>
      <c r="O70" s="7"/>
      <c r="P70" s="7"/>
    </row>
    <row r="71" spans="1:16" x14ac:dyDescent="0.25">
      <c r="A71" s="3">
        <f t="shared" si="0"/>
        <v>0.93000000000000049</v>
      </c>
      <c r="B71" s="4">
        <f t="shared" ca="1" si="8"/>
        <v>-0.15381516746073026</v>
      </c>
      <c r="C71" s="4">
        <f t="shared" ca="1" si="8"/>
        <v>-0.10066301792509434</v>
      </c>
      <c r="D71" s="4">
        <f t="shared" ca="1" si="1"/>
        <v>-0.15381516746073026</v>
      </c>
      <c r="E71" s="4">
        <f t="shared" ca="1" si="2"/>
        <v>-0.17955839101382989</v>
      </c>
      <c r="F71" s="4">
        <f t="shared" ca="1" si="3"/>
        <v>9.820009202675168</v>
      </c>
      <c r="G71" s="4">
        <f t="shared" ca="1" si="4"/>
        <v>14.420821552316221</v>
      </c>
      <c r="I71" s="6"/>
      <c r="J71" s="7"/>
      <c r="K71" s="7"/>
      <c r="L71" s="7"/>
      <c r="M71" s="7"/>
      <c r="N71" s="7"/>
      <c r="O71" s="7"/>
      <c r="P71" s="7"/>
    </row>
    <row r="72" spans="1:16" x14ac:dyDescent="0.25">
      <c r="A72" s="3">
        <f t="shared" si="0"/>
        <v>0.9400000000000005</v>
      </c>
      <c r="B72" s="4">
        <f t="shared" ca="1" si="8"/>
        <v>-0.34233980652368196</v>
      </c>
      <c r="C72" s="4">
        <f t="shared" ca="1" si="8"/>
        <v>3.7238670699759266E-2</v>
      </c>
      <c r="D72" s="4">
        <f t="shared" ca="1" si="1"/>
        <v>-0.34233980652368196</v>
      </c>
      <c r="E72" s="4">
        <f t="shared" ca="1" si="2"/>
        <v>-0.21304413440893671</v>
      </c>
      <c r="F72" s="4">
        <f t="shared" ca="1" si="3"/>
        <v>9.4585314359986814</v>
      </c>
      <c r="G72" s="4">
        <f t="shared" ca="1" si="4"/>
        <v>14.301853832501608</v>
      </c>
      <c r="I72" s="6"/>
      <c r="J72" s="7"/>
      <c r="K72" s="7"/>
      <c r="L72" s="7"/>
      <c r="M72" s="7"/>
      <c r="N72" s="7"/>
      <c r="O72" s="7"/>
      <c r="P72" s="7"/>
    </row>
    <row r="73" spans="1:16" x14ac:dyDescent="0.25">
      <c r="A73" s="3">
        <f t="shared" si="0"/>
        <v>0.95000000000000051</v>
      </c>
      <c r="B73" s="4">
        <f t="shared" ca="1" si="8"/>
        <v>-0.36753124336618054</v>
      </c>
      <c r="C73" s="4">
        <f t="shared" ca="1" si="8"/>
        <v>0.13289720390281606</v>
      </c>
      <c r="D73" s="4">
        <f t="shared" ca="1" si="1"/>
        <v>-0.36753124336618054</v>
      </c>
      <c r="E73" s="4">
        <f t="shared" ca="1" si="2"/>
        <v>-0.16236428335378372</v>
      </c>
      <c r="F73" s="4">
        <f t="shared" ca="1" si="3"/>
        <v>9.412878871996007</v>
      </c>
      <c r="G73" s="4">
        <f t="shared" ca="1" si="4"/>
        <v>14.485477999016606</v>
      </c>
      <c r="I73" s="6"/>
      <c r="J73" s="7"/>
      <c r="K73" s="7"/>
      <c r="L73" s="7"/>
      <c r="M73" s="7"/>
      <c r="N73" s="7"/>
      <c r="O73" s="7"/>
      <c r="P73" s="7"/>
    </row>
    <row r="74" spans="1:16" x14ac:dyDescent="0.25">
      <c r="A74" s="3">
        <f t="shared" ref="A74:A78" si="9">+A73+0.01</f>
        <v>0.96000000000000052</v>
      </c>
      <c r="B74" s="4">
        <f t="shared" ca="1" si="8"/>
        <v>-0.33229078791681255</v>
      </c>
      <c r="C74" s="4">
        <f t="shared" ca="1" si="8"/>
        <v>9.2019068227279677E-2</v>
      </c>
      <c r="D74" s="4">
        <f t="shared" ref="D74:D78" ca="1" si="10">B74</f>
        <v>-0.33229078791681255</v>
      </c>
      <c r="E74" s="4">
        <f t="shared" ref="E74:E78" ca="1" si="11">0.7*B74+SQRT(1-0.7^2)*C74</f>
        <v>-0.16688879256113684</v>
      </c>
      <c r="F74" s="4">
        <f t="shared" ref="F74:F78" ca="1" si="12">$F$8*EXP((0.04-0.5*0.2^2)*(A74-$A$8)+0.2*D74)</f>
        <v>9.4813521259000026</v>
      </c>
      <c r="G74" s="4">
        <f t="shared" ref="G74:G78" ca="1" si="13">$G$8*EXP((0.04-0.5*0.25^2)*(A74-$A$8)+0.25*E74)</f>
        <v>14.470368444439883</v>
      </c>
      <c r="I74" s="6"/>
      <c r="J74" s="7"/>
      <c r="K74" s="7"/>
      <c r="L74" s="7"/>
      <c r="M74" s="7"/>
      <c r="N74" s="7"/>
      <c r="O74" s="7"/>
      <c r="P74" s="7"/>
    </row>
    <row r="75" spans="1:16" x14ac:dyDescent="0.25">
      <c r="A75" s="3">
        <f t="shared" si="9"/>
        <v>0.97000000000000053</v>
      </c>
      <c r="B75" s="4">
        <f t="shared" ref="B75:C78" ca="1" si="14">B74+_xlfn.NORM.INV(RAND(),0,SQRT(0.01))</f>
        <v>-0.30448445120234185</v>
      </c>
      <c r="C75" s="4">
        <f t="shared" ca="1" si="14"/>
        <v>0.12812957726031807</v>
      </c>
      <c r="D75" s="4">
        <f t="shared" ca="1" si="10"/>
        <v>-0.30448445120234185</v>
      </c>
      <c r="E75" s="4">
        <f t="shared" ca="1" si="11"/>
        <v>-0.12163629528323798</v>
      </c>
      <c r="F75" s="4">
        <f t="shared" ca="1" si="12"/>
        <v>9.5361343863649566</v>
      </c>
      <c r="G75" s="4">
        <f t="shared" ca="1" si="13"/>
        <v>14.636283650249887</v>
      </c>
      <c r="I75" s="6"/>
      <c r="J75" s="7"/>
      <c r="K75" s="7"/>
      <c r="L75" s="7"/>
      <c r="M75" s="7"/>
      <c r="N75" s="7"/>
      <c r="O75" s="7"/>
      <c r="P75" s="7"/>
    </row>
    <row r="76" spans="1:16" x14ac:dyDescent="0.25">
      <c r="A76" s="3">
        <f t="shared" si="9"/>
        <v>0.98000000000000054</v>
      </c>
      <c r="B76" s="4">
        <f t="shared" ca="1" si="14"/>
        <v>-0.2102181374695245</v>
      </c>
      <c r="C76" s="4">
        <f t="shared" ca="1" si="14"/>
        <v>1.3161553583967533E-2</v>
      </c>
      <c r="D76" s="4">
        <f t="shared" ca="1" si="10"/>
        <v>-0.2102181374695245</v>
      </c>
      <c r="E76" s="4">
        <f t="shared" ca="1" si="11"/>
        <v>-0.13775346693583357</v>
      </c>
      <c r="F76" s="4">
        <f t="shared" ca="1" si="12"/>
        <v>9.7195708425845062</v>
      </c>
      <c r="G76" s="4">
        <f t="shared" ca="1" si="13"/>
        <v>14.578704009147843</v>
      </c>
      <c r="I76" s="6"/>
      <c r="J76" s="7"/>
      <c r="K76" s="7"/>
      <c r="L76" s="7"/>
      <c r="M76" s="7"/>
      <c r="N76" s="7"/>
      <c r="O76" s="7"/>
      <c r="P76" s="7"/>
    </row>
    <row r="77" spans="1:16" x14ac:dyDescent="0.25">
      <c r="A77" s="3">
        <f t="shared" si="9"/>
        <v>0.99000000000000055</v>
      </c>
      <c r="B77" s="4">
        <f t="shared" ca="1" si="14"/>
        <v>-9.5218997566110727E-2</v>
      </c>
      <c r="C77" s="4">
        <f t="shared" ca="1" si="14"/>
        <v>-0.17647799113125326</v>
      </c>
      <c r="D77" s="4">
        <f t="shared" ca="1" si="10"/>
        <v>-9.5218997566110727E-2</v>
      </c>
      <c r="E77" s="4">
        <f t="shared" ca="1" si="11"/>
        <v>-0.19268379258396401</v>
      </c>
      <c r="F77" s="4">
        <f t="shared" ca="1" si="12"/>
        <v>9.9476992520307892</v>
      </c>
      <c r="G77" s="4">
        <f t="shared" ca="1" si="13"/>
        <v>14.381127445734188</v>
      </c>
      <c r="I77" s="6"/>
      <c r="J77" s="7"/>
      <c r="K77" s="7"/>
      <c r="L77" s="7"/>
      <c r="M77" s="7"/>
      <c r="N77" s="7"/>
      <c r="O77" s="7"/>
      <c r="P77" s="7"/>
    </row>
    <row r="78" spans="1:16" x14ac:dyDescent="0.25">
      <c r="A78" s="3">
        <f t="shared" si="9"/>
        <v>1.0000000000000004</v>
      </c>
      <c r="B78" s="4">
        <f t="shared" ca="1" si="14"/>
        <v>-0.20523188518124413</v>
      </c>
      <c r="C78" s="4">
        <f t="shared" ca="1" si="14"/>
        <v>-0.2255293337705149</v>
      </c>
      <c r="D78" s="4">
        <f t="shared" ca="1" si="10"/>
        <v>-0.20523188518124413</v>
      </c>
      <c r="E78" s="4">
        <f t="shared" ca="1" si="11"/>
        <v>-0.30472247919277928</v>
      </c>
      <c r="F78" s="4">
        <f t="shared" ca="1" si="12"/>
        <v>9.7331610096150616</v>
      </c>
      <c r="G78" s="4">
        <f t="shared" ca="1" si="13"/>
        <v>13.985129426880437</v>
      </c>
      <c r="I78" s="6"/>
      <c r="J78" s="7"/>
      <c r="K78" s="7"/>
      <c r="L78" s="7"/>
      <c r="M78" s="7"/>
      <c r="N78" s="7"/>
      <c r="O78" s="7"/>
      <c r="P78" s="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2:N107"/>
  <sheetViews>
    <sheetView workbookViewId="0"/>
  </sheetViews>
  <sheetFormatPr baseColWidth="10" defaultColWidth="9.140625" defaultRowHeight="15" x14ac:dyDescent="0.25"/>
  <cols>
    <col min="2" max="2" width="13.42578125" customWidth="1"/>
    <col min="3" max="3" width="15.42578125" customWidth="1"/>
    <col min="4" max="4" width="11.85546875" customWidth="1"/>
    <col min="5" max="5" width="12.7109375" customWidth="1"/>
    <col min="12" max="12" width="12.140625" customWidth="1"/>
    <col min="13" max="13" width="13.140625" customWidth="1"/>
    <col min="14" max="14" width="14" customWidth="1"/>
  </cols>
  <sheetData>
    <row r="2" spans="1:14" x14ac:dyDescent="0.25">
      <c r="A2" t="s">
        <v>0</v>
      </c>
    </row>
    <row r="3" spans="1:14" x14ac:dyDescent="0.25">
      <c r="A3" t="s">
        <v>1</v>
      </c>
    </row>
    <row r="4" spans="1:14" x14ac:dyDescent="0.25">
      <c r="A4" t="s">
        <v>2</v>
      </c>
    </row>
    <row r="6" spans="1:14" x14ac:dyDescent="0.25">
      <c r="A6" s="1" t="s">
        <v>3</v>
      </c>
    </row>
    <row r="7" spans="1:14" x14ac:dyDescent="0.25">
      <c r="A7" s="2" t="s">
        <v>4</v>
      </c>
      <c r="B7" s="2" t="s">
        <v>5</v>
      </c>
      <c r="C7" s="2" t="s">
        <v>6</v>
      </c>
      <c r="D7" s="2" t="s">
        <v>7</v>
      </c>
      <c r="E7" s="2" t="s">
        <v>8</v>
      </c>
      <c r="F7" s="2" t="s">
        <v>9</v>
      </c>
      <c r="G7" s="2" t="s">
        <v>10</v>
      </c>
      <c r="J7" s="2" t="s">
        <v>12</v>
      </c>
      <c r="K7" s="2" t="s">
        <v>13</v>
      </c>
    </row>
    <row r="8" spans="1:14" x14ac:dyDescent="0.25">
      <c r="A8" s="3">
        <v>0.3</v>
      </c>
      <c r="B8" s="5">
        <v>0</v>
      </c>
      <c r="C8" s="5">
        <v>0</v>
      </c>
      <c r="D8" s="5">
        <f>B8</f>
        <v>0</v>
      </c>
      <c r="E8" s="5">
        <v>0</v>
      </c>
      <c r="F8" s="5">
        <v>10</v>
      </c>
      <c r="G8" s="5">
        <v>15</v>
      </c>
      <c r="J8" s="5">
        <v>1</v>
      </c>
      <c r="K8" s="5"/>
    </row>
    <row r="9" spans="1:14" x14ac:dyDescent="0.25">
      <c r="A9" s="3">
        <f>+A8+0.01</f>
        <v>0.31</v>
      </c>
      <c r="B9" s="5">
        <f ca="1">_xlfn.NORM.INV(RAND(),0,SQRT(0.01))</f>
        <v>7.1503168188769894E-2</v>
      </c>
      <c r="C9" s="5">
        <f ca="1">C8+_xlfn.NORM.INV(RAND(),0,SQRT(0.01))</f>
        <v>-7.1878690420616648E-2</v>
      </c>
      <c r="D9" s="5">
        <f t="shared" ref="D9:D72" ca="1" si="0">B9</f>
        <v>7.1503168188769894E-2</v>
      </c>
      <c r="E9" s="5">
        <f ca="1">0.7*B9+SQRT(1-0.72^2)*C9</f>
        <v>1.7027090386948635E-4</v>
      </c>
      <c r="F9" s="5">
        <f ca="1">$F$8*EXP((0.04-0.5*0.2^2)*(A9-$A$8)+0.2*D9)</f>
        <v>10.146062778440381</v>
      </c>
      <c r="G9" s="5">
        <f ca="1">$G$8*EXP((0.04-0.5*0.25^2)*(A9-$A$8)+0.25*E9)</f>
        <v>15.001951142777113</v>
      </c>
      <c r="J9" s="5">
        <f>J8+1</f>
        <v>2</v>
      </c>
      <c r="K9" s="5"/>
      <c r="N9" s="8"/>
    </row>
    <row r="10" spans="1:14" x14ac:dyDescent="0.25">
      <c r="A10" s="3">
        <f t="shared" ref="A10:A73" si="1">+A9+0.01</f>
        <v>0.32</v>
      </c>
      <c r="B10" s="5">
        <f ca="1">B9+_xlfn.NORM.INV(RAND(),0,SQRT(0.01))</f>
        <v>4.3007215307970706E-2</v>
      </c>
      <c r="C10" s="5">
        <f t="shared" ref="C10:C73" ca="1" si="2">C9+_xlfn.NORM.INV(RAND(),0,SQRT(0.01))</f>
        <v>-9.5034744610716926E-2</v>
      </c>
      <c r="D10" s="5">
        <f t="shared" ca="1" si="0"/>
        <v>4.3007215307970706E-2</v>
      </c>
      <c r="E10" s="5">
        <f t="shared" ref="E10:E73" ca="1" si="3">0.7*B10+SQRT(1-0.72^2)*C10</f>
        <v>-3.5846597120094567E-2</v>
      </c>
      <c r="F10" s="5">
        <f t="shared" ref="F10:F73" ca="1" si="4">$F$8*EXP((0.04-0.5*0.2^2)*(A10-$A$8)+0.2*D10)</f>
        <v>10.090420778826868</v>
      </c>
      <c r="G10" s="5">
        <f t="shared" ref="G10:G73" ca="1" si="5">$G$8*EXP((0.04-0.5*0.25^2)*(A10-$A$8)+0.25*E10)</f>
        <v>14.868777607622627</v>
      </c>
      <c r="H10" s="8"/>
      <c r="J10" s="5">
        <f t="shared" ref="J10:J73" si="6">J9+1</f>
        <v>3</v>
      </c>
      <c r="K10" s="5"/>
    </row>
    <row r="11" spans="1:14" x14ac:dyDescent="0.25">
      <c r="A11" s="3">
        <f t="shared" si="1"/>
        <v>0.33</v>
      </c>
      <c r="B11" s="5">
        <f t="shared" ref="B11:C74" ca="1" si="7">B10+_xlfn.NORM.INV(RAND(),0,SQRT(0.01))</f>
        <v>3.5684572967205126E-2</v>
      </c>
      <c r="C11" s="5">
        <f t="shared" ca="1" si="2"/>
        <v>0.17747871388036018</v>
      </c>
      <c r="D11" s="5">
        <f t="shared" ca="1" si="0"/>
        <v>3.5684572967205126E-2</v>
      </c>
      <c r="E11" s="5">
        <f t="shared" ca="1" si="3"/>
        <v>0.14814482522968547</v>
      </c>
      <c r="F11" s="5">
        <f t="shared" ca="1" si="4"/>
        <v>10.077669218551065</v>
      </c>
      <c r="G11" s="5">
        <f t="shared" ca="1" si="5"/>
        <v>15.570045488813641</v>
      </c>
      <c r="H11" s="8"/>
      <c r="J11" s="5">
        <f t="shared" si="6"/>
        <v>4</v>
      </c>
      <c r="K11" s="5"/>
    </row>
    <row r="12" spans="1:14" x14ac:dyDescent="0.25">
      <c r="A12" s="3">
        <f t="shared" si="1"/>
        <v>0.34</v>
      </c>
      <c r="B12" s="5">
        <f t="shared" ca="1" si="7"/>
        <v>-5.0594071052320333E-3</v>
      </c>
      <c r="C12" s="5">
        <f t="shared" ca="1" si="2"/>
        <v>0.14565506696354644</v>
      </c>
      <c r="D12" s="5">
        <f t="shared" ca="1" si="0"/>
        <v>-5.0594071052320333E-3</v>
      </c>
      <c r="E12" s="5">
        <f t="shared" ca="1" si="3"/>
        <v>9.7539253631317213E-2</v>
      </c>
      <c r="F12" s="5">
        <f t="shared" ca="1" si="4"/>
        <v>9.9978814102423659</v>
      </c>
      <c r="G12" s="5">
        <f t="shared" ca="1" si="5"/>
        <v>15.375648851259344</v>
      </c>
      <c r="H12" s="8"/>
      <c r="J12" s="5">
        <f t="shared" si="6"/>
        <v>5</v>
      </c>
      <c r="K12" s="5"/>
    </row>
    <row r="13" spans="1:14" x14ac:dyDescent="0.25">
      <c r="A13" s="3">
        <f t="shared" si="1"/>
        <v>0.35000000000000003</v>
      </c>
      <c r="B13" s="5">
        <f t="shared" ca="1" si="7"/>
        <v>-8.1685006472713609E-2</v>
      </c>
      <c r="C13" s="5">
        <f t="shared" ca="1" si="2"/>
        <v>0.38897235239395023</v>
      </c>
      <c r="D13" s="5">
        <f t="shared" ca="1" si="0"/>
        <v>-8.1685006472713609E-2</v>
      </c>
      <c r="E13" s="5">
        <f t="shared" ca="1" si="3"/>
        <v>0.2127572192218849</v>
      </c>
      <c r="F13" s="5">
        <f t="shared" ca="1" si="4"/>
        <v>9.8478001153738219</v>
      </c>
      <c r="G13" s="5">
        <f t="shared" ca="1" si="5"/>
        <v>15.826361607984602</v>
      </c>
      <c r="H13" s="8"/>
      <c r="J13" s="5">
        <f t="shared" si="6"/>
        <v>6</v>
      </c>
      <c r="K13" s="5"/>
      <c r="M13" s="2" t="s">
        <v>14</v>
      </c>
    </row>
    <row r="14" spans="1:14" x14ac:dyDescent="0.25">
      <c r="A14" s="3">
        <f t="shared" si="1"/>
        <v>0.36000000000000004</v>
      </c>
      <c r="B14" s="5">
        <f t="shared" ca="1" si="7"/>
        <v>-5.9304678971547953E-2</v>
      </c>
      <c r="C14" s="5">
        <f t="shared" ca="1" si="2"/>
        <v>0.35434406097034965</v>
      </c>
      <c r="D14" s="5">
        <f t="shared" ca="1" si="0"/>
        <v>-5.9304678971547953E-2</v>
      </c>
      <c r="E14" s="5">
        <f t="shared" ca="1" si="3"/>
        <v>0.204392312381629</v>
      </c>
      <c r="F14" s="5">
        <f t="shared" ca="1" si="4"/>
        <v>9.8939569057302563</v>
      </c>
      <c r="G14" s="5">
        <f t="shared" ca="1" si="5"/>
        <v>15.794681654091821</v>
      </c>
      <c r="H14" s="8"/>
      <c r="J14" s="5">
        <f t="shared" si="6"/>
        <v>7</v>
      </c>
      <c r="K14" s="5"/>
      <c r="M14" s="5"/>
    </row>
    <row r="15" spans="1:14" x14ac:dyDescent="0.25">
      <c r="A15" s="3">
        <f t="shared" si="1"/>
        <v>0.37000000000000005</v>
      </c>
      <c r="B15" s="5">
        <f t="shared" ca="1" si="7"/>
        <v>-0.14130808020942454</v>
      </c>
      <c r="C15" s="5">
        <f t="shared" ca="1" si="2"/>
        <v>0.28876290885131406</v>
      </c>
      <c r="D15" s="5">
        <f t="shared" ca="1" si="0"/>
        <v>-0.14130808020942454</v>
      </c>
      <c r="E15" s="5">
        <f t="shared" ca="1" si="3"/>
        <v>0.10147831292836262</v>
      </c>
      <c r="F15" s="5">
        <f t="shared" ca="1" si="4"/>
        <v>9.7349594842603686</v>
      </c>
      <c r="G15" s="5">
        <f t="shared" ca="1" si="5"/>
        <v>15.394838321909877</v>
      </c>
      <c r="H15" s="8"/>
      <c r="J15" s="5">
        <f t="shared" si="6"/>
        <v>8</v>
      </c>
      <c r="K15" s="5"/>
    </row>
    <row r="16" spans="1:14" x14ac:dyDescent="0.25">
      <c r="A16" s="3">
        <f t="shared" si="1"/>
        <v>0.38000000000000006</v>
      </c>
      <c r="B16" s="5">
        <f t="shared" ca="1" si="7"/>
        <v>-6.6294967087758352E-2</v>
      </c>
      <c r="C16" s="5">
        <f t="shared" ca="1" si="2"/>
        <v>0.13750751686882889</v>
      </c>
      <c r="D16" s="5">
        <f t="shared" ca="1" si="0"/>
        <v>-6.6294967087758352E-2</v>
      </c>
      <c r="E16" s="5">
        <f t="shared" ca="1" si="3"/>
        <v>4.9020173201506846E-2</v>
      </c>
      <c r="F16" s="5">
        <f t="shared" ca="1" si="4"/>
        <v>9.8840870927567952</v>
      </c>
      <c r="G16" s="5">
        <f t="shared" ca="1" si="5"/>
        <v>15.195589851472418</v>
      </c>
      <c r="H16" s="8"/>
      <c r="J16" s="5">
        <f t="shared" si="6"/>
        <v>9</v>
      </c>
      <c r="K16" s="5"/>
    </row>
    <row r="17" spans="1:13" x14ac:dyDescent="0.25">
      <c r="A17" s="3">
        <f t="shared" si="1"/>
        <v>0.39000000000000007</v>
      </c>
      <c r="B17" s="5">
        <f t="shared" ca="1" si="7"/>
        <v>-6.9249700841298223E-2</v>
      </c>
      <c r="C17" s="5">
        <f t="shared" ca="1" si="2"/>
        <v>0.18273809365767202</v>
      </c>
      <c r="D17" s="5">
        <f t="shared" ca="1" si="0"/>
        <v>-6.9249700841298223E-2</v>
      </c>
      <c r="E17" s="5">
        <f t="shared" ca="1" si="3"/>
        <v>7.8340706716211961E-2</v>
      </c>
      <c r="F17" s="5">
        <f t="shared" ca="1" si="4"/>
        <v>9.880223696264526</v>
      </c>
      <c r="G17" s="5">
        <f t="shared" ca="1" si="5"/>
        <v>15.308724241946081</v>
      </c>
      <c r="H17" s="8"/>
      <c r="J17" s="5">
        <f t="shared" si="6"/>
        <v>10</v>
      </c>
      <c r="K17" s="5"/>
    </row>
    <row r="18" spans="1:13" x14ac:dyDescent="0.25">
      <c r="A18" s="3">
        <f t="shared" si="1"/>
        <v>0.40000000000000008</v>
      </c>
      <c r="B18" s="5">
        <f t="shared" ca="1" si="7"/>
        <v>-1.6467993603773178E-2</v>
      </c>
      <c r="C18" s="5">
        <f t="shared" ca="1" si="2"/>
        <v>0.30841756160311801</v>
      </c>
      <c r="D18" s="5">
        <f t="shared" ca="1" si="0"/>
        <v>-1.6467993603773178E-2</v>
      </c>
      <c r="E18" s="5">
        <f t="shared" ca="1" si="3"/>
        <v>0.20250619277768911</v>
      </c>
      <c r="F18" s="5">
        <f t="shared" ca="1" si="4"/>
        <v>9.9870723761740301</v>
      </c>
      <c r="G18" s="5">
        <f t="shared" ca="1" si="5"/>
        <v>15.792762244629492</v>
      </c>
      <c r="H18" s="8"/>
      <c r="J18" s="5">
        <f t="shared" si="6"/>
        <v>11</v>
      </c>
      <c r="K18" s="5"/>
    </row>
    <row r="19" spans="1:13" x14ac:dyDescent="0.25">
      <c r="A19" s="3">
        <f t="shared" si="1"/>
        <v>0.41000000000000009</v>
      </c>
      <c r="B19" s="5">
        <f t="shared" ca="1" si="7"/>
        <v>-3.735275708339595E-2</v>
      </c>
      <c r="C19" s="5">
        <f t="shared" ca="1" si="2"/>
        <v>0.20224096015624005</v>
      </c>
      <c r="D19" s="5">
        <f t="shared" ca="1" si="0"/>
        <v>-3.735275708339595E-2</v>
      </c>
      <c r="E19" s="5">
        <f t="shared" ca="1" si="3"/>
        <v>0.11420305084926116</v>
      </c>
      <c r="F19" s="5">
        <f t="shared" ca="1" si="4"/>
        <v>9.9474331357003543</v>
      </c>
      <c r="G19" s="5">
        <f t="shared" ca="1" si="5"/>
        <v>15.449296430293648</v>
      </c>
      <c r="H19" s="8"/>
      <c r="J19" s="5">
        <f t="shared" si="6"/>
        <v>12</v>
      </c>
      <c r="K19" s="5"/>
    </row>
    <row r="20" spans="1:13" x14ac:dyDescent="0.25">
      <c r="A20" s="3">
        <f t="shared" si="1"/>
        <v>0.4200000000000001</v>
      </c>
      <c r="B20" s="5">
        <f t="shared" ca="1" si="7"/>
        <v>-1.8938147836125376E-2</v>
      </c>
      <c r="C20" s="5">
        <f t="shared" ca="1" si="2"/>
        <v>0.27394057034277719</v>
      </c>
      <c r="D20" s="5">
        <f t="shared" ca="1" si="0"/>
        <v>-1.8938147836125376E-2</v>
      </c>
      <c r="E20" s="5">
        <f t="shared" ca="1" si="3"/>
        <v>0.17685094711298793</v>
      </c>
      <c r="F20" s="5">
        <f t="shared" ca="1" si="4"/>
        <v>9.9861333274552031</v>
      </c>
      <c r="G20" s="5">
        <f t="shared" ca="1" si="5"/>
        <v>15.694540890085818</v>
      </c>
      <c r="H20" s="8"/>
      <c r="J20" s="5">
        <f t="shared" si="6"/>
        <v>13</v>
      </c>
      <c r="K20" s="5"/>
    </row>
    <row r="21" spans="1:13" x14ac:dyDescent="0.25">
      <c r="A21" s="3">
        <f t="shared" si="1"/>
        <v>0.4300000000000001</v>
      </c>
      <c r="B21" s="5">
        <f t="shared" ca="1" si="7"/>
        <v>-0.10821630327870091</v>
      </c>
      <c r="C21" s="5">
        <f t="shared" ca="1" si="2"/>
        <v>0.23876652307049856</v>
      </c>
      <c r="D21" s="5">
        <f t="shared" ca="1" si="0"/>
        <v>-0.10821630327870091</v>
      </c>
      <c r="E21" s="5">
        <f t="shared" ca="1" si="3"/>
        <v>8.9946361808445952E-2</v>
      </c>
      <c r="F21" s="5">
        <f t="shared" ca="1" si="4"/>
        <v>9.8113691669831429</v>
      </c>
      <c r="G21" s="5">
        <f t="shared" ca="1" si="5"/>
        <v>15.358580246121772</v>
      </c>
      <c r="H21" s="8"/>
      <c r="J21" s="5">
        <f t="shared" si="6"/>
        <v>14</v>
      </c>
      <c r="K21" s="5"/>
    </row>
    <row r="22" spans="1:13" x14ac:dyDescent="0.25">
      <c r="A22" s="3">
        <f t="shared" si="1"/>
        <v>0.44000000000000011</v>
      </c>
      <c r="B22" s="5">
        <f t="shared" ca="1" si="7"/>
        <v>-0.1974861788486626</v>
      </c>
      <c r="C22" s="5">
        <f t="shared" ca="1" si="2"/>
        <v>0.21263846135811734</v>
      </c>
      <c r="D22" s="5">
        <f t="shared" ca="1" si="0"/>
        <v>-0.1974861788486626</v>
      </c>
      <c r="E22" s="5">
        <f t="shared" ca="1" si="3"/>
        <v>9.3252517668142576E-3</v>
      </c>
      <c r="F22" s="5">
        <f t="shared" ca="1" si="4"/>
        <v>9.6396794618511201</v>
      </c>
      <c r="G22" s="5">
        <f t="shared" ca="1" si="5"/>
        <v>15.053439661883584</v>
      </c>
      <c r="H22" s="8"/>
      <c r="J22" s="5">
        <f t="shared" si="6"/>
        <v>15</v>
      </c>
      <c r="K22" s="5"/>
    </row>
    <row r="23" spans="1:13" x14ac:dyDescent="0.25">
      <c r="A23" s="3">
        <f t="shared" si="1"/>
        <v>0.45000000000000012</v>
      </c>
      <c r="B23" s="5">
        <f t="shared" ca="1" si="7"/>
        <v>-6.9388799832577092E-2</v>
      </c>
      <c r="C23" s="5">
        <f t="shared" ca="1" si="2"/>
        <v>0.30188913247378157</v>
      </c>
      <c r="D23" s="5">
        <f t="shared" ca="1" si="0"/>
        <v>-6.9388799832577092E-2</v>
      </c>
      <c r="E23" s="5">
        <f t="shared" ca="1" si="3"/>
        <v>0.1609310679301823</v>
      </c>
      <c r="F23" s="5">
        <f t="shared" ca="1" si="4"/>
        <v>9.8918118892684443</v>
      </c>
      <c r="G23" s="5">
        <f t="shared" ca="1" si="5"/>
        <v>15.636305220107644</v>
      </c>
      <c r="H23" s="8"/>
      <c r="J23" s="5">
        <f t="shared" si="6"/>
        <v>16</v>
      </c>
      <c r="K23" s="5"/>
    </row>
    <row r="24" spans="1:13" x14ac:dyDescent="0.25">
      <c r="A24" s="3">
        <f t="shared" si="1"/>
        <v>0.46000000000000013</v>
      </c>
      <c r="B24" s="5">
        <f t="shared" ca="1" si="7"/>
        <v>1.2432914941888765E-2</v>
      </c>
      <c r="C24" s="5">
        <f t="shared" ca="1" si="2"/>
        <v>0.29225544726555486</v>
      </c>
      <c r="D24" s="5">
        <f t="shared" ca="1" si="0"/>
        <v>1.2432914941888765E-2</v>
      </c>
      <c r="E24" s="5">
        <f t="shared" ca="1" si="3"/>
        <v>0.21152074060750248</v>
      </c>
      <c r="F24" s="5">
        <f t="shared" ca="1" si="4"/>
        <v>10.05702782293093</v>
      </c>
      <c r="G24" s="5">
        <f t="shared" ca="1" si="5"/>
        <v>15.836705620533603</v>
      </c>
      <c r="H24" s="8"/>
      <c r="J24" s="5">
        <f t="shared" si="6"/>
        <v>17</v>
      </c>
      <c r="K24" s="5"/>
    </row>
    <row r="25" spans="1:13" x14ac:dyDescent="0.25">
      <c r="A25" s="3">
        <f t="shared" si="1"/>
        <v>0.47000000000000014</v>
      </c>
      <c r="B25" s="5">
        <f t="shared" ca="1" si="7"/>
        <v>-4.6257456689602461E-2</v>
      </c>
      <c r="C25" s="5">
        <f t="shared" ca="1" si="2"/>
        <v>0.23679352930767331</v>
      </c>
      <c r="D25" s="5">
        <f t="shared" ca="1" si="0"/>
        <v>-4.6257456689602461E-2</v>
      </c>
      <c r="E25" s="5">
        <f t="shared" ca="1" si="3"/>
        <v>0.1319483479231193</v>
      </c>
      <c r="F25" s="5">
        <f t="shared" ca="1" si="4"/>
        <v>9.9416559529384756</v>
      </c>
      <c r="G25" s="5">
        <f t="shared" ca="1" si="5"/>
        <v>15.526135854639227</v>
      </c>
      <c r="H25" s="8"/>
      <c r="J25" s="5">
        <f t="shared" si="6"/>
        <v>18</v>
      </c>
      <c r="K25" s="5"/>
    </row>
    <row r="26" spans="1:13" x14ac:dyDescent="0.25">
      <c r="A26" s="3">
        <f t="shared" si="1"/>
        <v>0.48000000000000015</v>
      </c>
      <c r="B26" s="5">
        <f t="shared" ca="1" si="7"/>
        <v>-6.8125009563428041E-2</v>
      </c>
      <c r="C26" s="5">
        <f t="shared" ca="1" si="2"/>
        <v>0.38907864027906164</v>
      </c>
      <c r="D26" s="5">
        <f t="shared" ca="1" si="0"/>
        <v>-6.8125009563428041E-2</v>
      </c>
      <c r="E26" s="5">
        <f t="shared" ca="1" si="3"/>
        <v>0.22232297809385426</v>
      </c>
      <c r="F26" s="5">
        <f t="shared" ca="1" si="4"/>
        <v>9.9002508091910553</v>
      </c>
      <c r="G26" s="5">
        <f t="shared" ca="1" si="5"/>
        <v>15.882310546206526</v>
      </c>
      <c r="H26" s="8"/>
      <c r="J26" s="5">
        <f t="shared" si="6"/>
        <v>19</v>
      </c>
      <c r="K26" s="5"/>
    </row>
    <row r="27" spans="1:13" x14ac:dyDescent="0.25">
      <c r="A27" s="3">
        <f t="shared" si="1"/>
        <v>0.49000000000000016</v>
      </c>
      <c r="B27" s="5">
        <f t="shared" ca="1" si="7"/>
        <v>-0.11123536578205423</v>
      </c>
      <c r="C27" s="5">
        <f t="shared" ca="1" si="2"/>
        <v>0.55884989693076625</v>
      </c>
      <c r="D27" s="5">
        <f t="shared" ca="1" si="0"/>
        <v>-0.11123536578205423</v>
      </c>
      <c r="E27" s="5">
        <f t="shared" ca="1" si="3"/>
        <v>0.3099625774857373</v>
      </c>
      <c r="F27" s="5">
        <f t="shared" ca="1" si="4"/>
        <v>9.8172203266526186</v>
      </c>
      <c r="G27" s="5">
        <f t="shared" ca="1" si="5"/>
        <v>16.235551023933088</v>
      </c>
      <c r="H27" s="8"/>
      <c r="J27" s="5">
        <f t="shared" si="6"/>
        <v>20</v>
      </c>
      <c r="K27" s="5"/>
    </row>
    <row r="28" spans="1:13" x14ac:dyDescent="0.25">
      <c r="A28" s="3">
        <f t="shared" si="1"/>
        <v>0.50000000000000011</v>
      </c>
      <c r="B28" s="5">
        <f t="shared" ca="1" si="7"/>
        <v>-4.6316686008340421E-2</v>
      </c>
      <c r="C28" s="5">
        <f t="shared" ca="1" si="2"/>
        <v>0.65270456426566426</v>
      </c>
      <c r="D28" s="5">
        <f t="shared" ca="1" si="0"/>
        <v>-4.6316686008340421E-2</v>
      </c>
      <c r="E28" s="5">
        <f t="shared" ca="1" si="3"/>
        <v>0.42053835814135615</v>
      </c>
      <c r="F28" s="5">
        <f t="shared" ca="1" si="4"/>
        <v>9.9475048988806609</v>
      </c>
      <c r="G28" s="5">
        <f t="shared" ca="1" si="5"/>
        <v>16.692087264472494</v>
      </c>
      <c r="H28" s="8"/>
      <c r="J28" s="5">
        <f t="shared" si="6"/>
        <v>21</v>
      </c>
      <c r="K28" s="5"/>
    </row>
    <row r="29" spans="1:13" x14ac:dyDescent="0.25">
      <c r="A29" s="3">
        <f t="shared" si="1"/>
        <v>0.51000000000000012</v>
      </c>
      <c r="B29" s="5">
        <f t="shared" ca="1" si="7"/>
        <v>-0.2051309642183477</v>
      </c>
      <c r="C29" s="5">
        <f t="shared" ca="1" si="2"/>
        <v>0.50874480996598836</v>
      </c>
      <c r="D29" s="5">
        <f t="shared" ca="1" si="0"/>
        <v>-0.2051309642183477</v>
      </c>
      <c r="E29" s="5">
        <f t="shared" ca="1" si="3"/>
        <v>0.20946402780663045</v>
      </c>
      <c r="F29" s="5">
        <f t="shared" ca="1" si="4"/>
        <v>9.6384364371441666</v>
      </c>
      <c r="G29" s="5">
        <f t="shared" ca="1" si="5"/>
        <v>15.835491337004374</v>
      </c>
      <c r="H29" s="8"/>
      <c r="J29" s="5">
        <f t="shared" si="6"/>
        <v>22</v>
      </c>
      <c r="K29" s="5"/>
      <c r="M29">
        <v>1.3833335653049426</v>
      </c>
    </row>
    <row r="30" spans="1:13" x14ac:dyDescent="0.25">
      <c r="A30" s="3">
        <f t="shared" si="1"/>
        <v>0.52000000000000013</v>
      </c>
      <c r="B30" s="5">
        <f t="shared" ca="1" si="7"/>
        <v>-0.1426568741453752</v>
      </c>
      <c r="C30" s="5">
        <f t="shared" ca="1" si="2"/>
        <v>0.65187372114400766</v>
      </c>
      <c r="D30" s="5">
        <f t="shared" ca="1" si="0"/>
        <v>-0.1426568741453752</v>
      </c>
      <c r="E30" s="5">
        <f t="shared" ca="1" si="3"/>
        <v>0.35252364286865007</v>
      </c>
      <c r="F30" s="5">
        <f t="shared" ca="1" si="4"/>
        <v>9.7615745881431888</v>
      </c>
      <c r="G30" s="5">
        <f t="shared" ca="1" si="5"/>
        <v>16.413531922265157</v>
      </c>
      <c r="H30" s="8"/>
      <c r="J30" s="5">
        <f t="shared" si="6"/>
        <v>23</v>
      </c>
      <c r="K30" s="5"/>
    </row>
    <row r="31" spans="1:13" x14ac:dyDescent="0.25">
      <c r="A31" s="3">
        <f t="shared" si="1"/>
        <v>0.53000000000000014</v>
      </c>
      <c r="B31" s="5">
        <f t="shared" ca="1" si="7"/>
        <v>-0.15388107644853416</v>
      </c>
      <c r="C31" s="5">
        <f t="shared" ca="1" si="2"/>
        <v>0.81941502970142832</v>
      </c>
      <c r="D31" s="5">
        <f t="shared" ca="1" si="0"/>
        <v>-0.15388107644853416</v>
      </c>
      <c r="E31" s="5">
        <f t="shared" ca="1" si="3"/>
        <v>0.46093602386227828</v>
      </c>
      <c r="F31" s="5">
        <f t="shared" ca="1" si="4"/>
        <v>9.7416341199521685</v>
      </c>
      <c r="G31" s="5">
        <f t="shared" ca="1" si="5"/>
        <v>16.865948489886609</v>
      </c>
      <c r="H31" s="8"/>
      <c r="J31" s="5">
        <f t="shared" si="6"/>
        <v>24</v>
      </c>
      <c r="K31" s="5"/>
      <c r="M31" s="2" t="s">
        <v>14</v>
      </c>
    </row>
    <row r="32" spans="1:13" x14ac:dyDescent="0.25">
      <c r="A32" s="3">
        <f t="shared" si="1"/>
        <v>0.54000000000000015</v>
      </c>
      <c r="B32" s="5">
        <f t="shared" ca="1" si="7"/>
        <v>-8.2033909658817905E-2</v>
      </c>
      <c r="C32" s="5">
        <f t="shared" ca="1" si="2"/>
        <v>0.92460412851323726</v>
      </c>
      <c r="D32" s="5">
        <f t="shared" ca="1" si="0"/>
        <v>-8.2033909658817905E-2</v>
      </c>
      <c r="E32" s="5">
        <f t="shared" ca="1" si="3"/>
        <v>0.58422754689197265</v>
      </c>
      <c r="F32" s="5">
        <f t="shared" ca="1" si="4"/>
        <v>9.8846031691020055</v>
      </c>
      <c r="G32" s="5">
        <f t="shared" ca="1" si="5"/>
        <v>17.395422342181526</v>
      </c>
      <c r="H32" s="8"/>
      <c r="J32" s="5">
        <f t="shared" si="6"/>
        <v>25</v>
      </c>
      <c r="K32" s="5"/>
      <c r="M32" s="5"/>
    </row>
    <row r="33" spans="1:11" x14ac:dyDescent="0.25">
      <c r="A33" s="3">
        <f t="shared" si="1"/>
        <v>0.55000000000000016</v>
      </c>
      <c r="B33" s="5">
        <f t="shared" ca="1" si="7"/>
        <v>-0.15358806754592136</v>
      </c>
      <c r="C33" s="5">
        <f t="shared" ca="1" si="2"/>
        <v>0.86501674089946434</v>
      </c>
      <c r="D33" s="5">
        <f t="shared" ca="1" si="0"/>
        <v>-0.15358806754592136</v>
      </c>
      <c r="E33" s="5">
        <f t="shared" ca="1" si="3"/>
        <v>0.49278753489012578</v>
      </c>
      <c r="F33" s="5">
        <f t="shared" ca="1" si="4"/>
        <v>9.7461026752701727</v>
      </c>
      <c r="G33" s="5">
        <f t="shared" ca="1" si="5"/>
        <v>17.003761509149179</v>
      </c>
      <c r="H33" s="8"/>
      <c r="J33" s="5">
        <f t="shared" si="6"/>
        <v>26</v>
      </c>
      <c r="K33" s="5"/>
    </row>
    <row r="34" spans="1:11" x14ac:dyDescent="0.25">
      <c r="A34" s="3">
        <f t="shared" si="1"/>
        <v>0.56000000000000016</v>
      </c>
      <c r="B34" s="5">
        <f t="shared" ca="1" si="7"/>
        <v>-0.2872730172734631</v>
      </c>
      <c r="C34" s="5">
        <f t="shared" ca="1" si="2"/>
        <v>0.81789811938770907</v>
      </c>
      <c r="D34" s="5">
        <f t="shared" ca="1" si="0"/>
        <v>-0.2872730172734631</v>
      </c>
      <c r="E34" s="5">
        <f t="shared" ca="1" si="3"/>
        <v>0.36650896887133722</v>
      </c>
      <c r="F34" s="5">
        <f t="shared" ca="1" si="4"/>
        <v>9.4908719520027489</v>
      </c>
      <c r="G34" s="5">
        <f t="shared" ca="1" si="5"/>
        <v>16.47678537602857</v>
      </c>
      <c r="H34" s="8"/>
      <c r="J34" s="5">
        <f t="shared" si="6"/>
        <v>27</v>
      </c>
      <c r="K34" s="5"/>
    </row>
    <row r="35" spans="1:11" x14ac:dyDescent="0.25">
      <c r="A35" s="3">
        <f t="shared" si="1"/>
        <v>0.57000000000000017</v>
      </c>
      <c r="B35" s="5">
        <f t="shared" ca="1" si="7"/>
        <v>-0.30138469843800331</v>
      </c>
      <c r="C35" s="5">
        <f t="shared" ca="1" si="2"/>
        <v>1.0732540662408827</v>
      </c>
      <c r="D35" s="5">
        <f t="shared" ca="1" si="0"/>
        <v>-0.30138469843800331</v>
      </c>
      <c r="E35" s="5">
        <f t="shared" ca="1" si="3"/>
        <v>0.53384119598359236</v>
      </c>
      <c r="F35" s="5">
        <f t="shared" ca="1" si="4"/>
        <v>9.4660162987847638</v>
      </c>
      <c r="G35" s="5">
        <f t="shared" ca="1" si="5"/>
        <v>17.182183433987866</v>
      </c>
      <c r="H35" s="8"/>
      <c r="J35" s="5">
        <f t="shared" si="6"/>
        <v>28</v>
      </c>
      <c r="K35" s="5"/>
    </row>
    <row r="36" spans="1:11" x14ac:dyDescent="0.25">
      <c r="A36" s="3">
        <f t="shared" si="1"/>
        <v>0.58000000000000018</v>
      </c>
      <c r="B36" s="5">
        <f t="shared" ca="1" si="7"/>
        <v>-0.2444180535995365</v>
      </c>
      <c r="C36" s="5">
        <f t="shared" ca="1" si="2"/>
        <v>1.1458787089843356</v>
      </c>
      <c r="D36" s="5">
        <f t="shared" ca="1" si="0"/>
        <v>-0.2444180535995365</v>
      </c>
      <c r="E36" s="5">
        <f t="shared" ca="1" si="3"/>
        <v>0.62411746576300886</v>
      </c>
      <c r="F36" s="5">
        <f t="shared" ca="1" si="4"/>
        <v>9.5763975464926538</v>
      </c>
      <c r="G36" s="5">
        <f t="shared" ca="1" si="5"/>
        <v>17.575916205928188</v>
      </c>
      <c r="H36" s="8"/>
      <c r="J36" s="5">
        <f t="shared" si="6"/>
        <v>29</v>
      </c>
      <c r="K36" s="5"/>
    </row>
    <row r="37" spans="1:11" x14ac:dyDescent="0.25">
      <c r="A37" s="3">
        <f t="shared" si="1"/>
        <v>0.59000000000000019</v>
      </c>
      <c r="B37" s="5">
        <f t="shared" ca="1" si="7"/>
        <v>-0.21923669980843952</v>
      </c>
      <c r="C37" s="5">
        <f t="shared" ca="1" si="2"/>
        <v>1.1743489730760341</v>
      </c>
      <c r="D37" s="5">
        <f t="shared" ca="1" si="0"/>
        <v>-0.21923669980843952</v>
      </c>
      <c r="E37" s="5">
        <f t="shared" ca="1" si="3"/>
        <v>0.66150203826078147</v>
      </c>
      <c r="F37" s="5">
        <f t="shared" ca="1" si="4"/>
        <v>9.6266736717619867</v>
      </c>
      <c r="G37" s="5">
        <f t="shared" ca="1" si="5"/>
        <v>17.742505664301206</v>
      </c>
      <c r="H37" s="8"/>
      <c r="J37" s="5">
        <f t="shared" si="6"/>
        <v>30</v>
      </c>
      <c r="K37" s="5"/>
    </row>
    <row r="38" spans="1:11" x14ac:dyDescent="0.25">
      <c r="A38" s="3">
        <f t="shared" si="1"/>
        <v>0.6000000000000002</v>
      </c>
      <c r="B38" s="5">
        <f t="shared" ca="1" si="7"/>
        <v>-0.17605435620956295</v>
      </c>
      <c r="C38" s="5">
        <f t="shared" ca="1" si="2"/>
        <v>1.2605103834651672</v>
      </c>
      <c r="D38" s="5">
        <f t="shared" ca="1" si="0"/>
        <v>-0.17605435620956295</v>
      </c>
      <c r="E38" s="5">
        <f t="shared" ca="1" si="3"/>
        <v>0.75152346281430582</v>
      </c>
      <c r="F38" s="5">
        <f t="shared" ca="1" si="4"/>
        <v>9.7121164226664334</v>
      </c>
      <c r="G38" s="5">
        <f t="shared" ca="1" si="5"/>
        <v>18.147922054581233</v>
      </c>
      <c r="H38" s="8"/>
      <c r="J38" s="5">
        <f t="shared" si="6"/>
        <v>31</v>
      </c>
      <c r="K38" s="5"/>
    </row>
    <row r="39" spans="1:11" x14ac:dyDescent="0.25">
      <c r="A39" s="3">
        <f t="shared" si="1"/>
        <v>0.61000000000000021</v>
      </c>
      <c r="B39" s="5">
        <f t="shared" ca="1" si="7"/>
        <v>-0.30130703466102304</v>
      </c>
      <c r="C39" s="5">
        <f t="shared" ca="1" si="2"/>
        <v>1.2534426228172364</v>
      </c>
      <c r="D39" s="5">
        <f t="shared" ca="1" si="0"/>
        <v>-0.30130703466102304</v>
      </c>
      <c r="E39" s="5">
        <f t="shared" ca="1" si="3"/>
        <v>0.65894174532572203</v>
      </c>
      <c r="F39" s="5">
        <f t="shared" ca="1" si="4"/>
        <v>9.4737392938892313</v>
      </c>
      <c r="G39" s="5">
        <f t="shared" ca="1" si="5"/>
        <v>17.734256018310283</v>
      </c>
      <c r="H39" s="8"/>
      <c r="J39" s="5">
        <f t="shared" si="6"/>
        <v>32</v>
      </c>
      <c r="K39" s="5"/>
    </row>
    <row r="40" spans="1:11" x14ac:dyDescent="0.25">
      <c r="A40" s="3">
        <f t="shared" si="1"/>
        <v>0.62000000000000022</v>
      </c>
      <c r="B40" s="5">
        <f t="shared" ca="1" si="7"/>
        <v>-0.18885727708609379</v>
      </c>
      <c r="C40" s="5">
        <f t="shared" ca="1" si="2"/>
        <v>1.3990478022831272</v>
      </c>
      <c r="D40" s="5">
        <f t="shared" ca="1" si="0"/>
        <v>-0.18885727708609379</v>
      </c>
      <c r="E40" s="5">
        <f t="shared" ca="1" si="3"/>
        <v>0.83870279360371536</v>
      </c>
      <c r="F40" s="5">
        <f t="shared" ca="1" si="4"/>
        <v>9.691155229979616</v>
      </c>
      <c r="G40" s="5">
        <f t="shared" ca="1" si="5"/>
        <v>18.551040878043633</v>
      </c>
      <c r="H40" s="8"/>
      <c r="J40" s="5">
        <f t="shared" si="6"/>
        <v>33</v>
      </c>
      <c r="K40" s="5"/>
    </row>
    <row r="41" spans="1:11" x14ac:dyDescent="0.25">
      <c r="A41" s="3">
        <f t="shared" si="1"/>
        <v>0.63000000000000023</v>
      </c>
      <c r="B41" s="5">
        <f t="shared" ca="1" si="7"/>
        <v>-0.29058243326883582</v>
      </c>
      <c r="C41" s="5">
        <f t="shared" ca="1" si="2"/>
        <v>1.4850907656996486</v>
      </c>
      <c r="D41" s="5">
        <f t="shared" ca="1" si="0"/>
        <v>-0.29058243326883582</v>
      </c>
      <c r="E41" s="5">
        <f t="shared" ca="1" si="3"/>
        <v>0.82720676918328351</v>
      </c>
      <c r="F41" s="5">
        <f t="shared" ca="1" si="4"/>
        <v>9.497879910073582</v>
      </c>
      <c r="G41" s="5">
        <f t="shared" ca="1" si="5"/>
        <v>18.499420243388862</v>
      </c>
      <c r="H41" s="8"/>
      <c r="J41" s="5">
        <f t="shared" si="6"/>
        <v>34</v>
      </c>
      <c r="K41" s="5"/>
    </row>
    <row r="42" spans="1:11" x14ac:dyDescent="0.25">
      <c r="A42" s="3">
        <f t="shared" si="1"/>
        <v>0.64000000000000024</v>
      </c>
      <c r="B42" s="5">
        <f t="shared" ca="1" si="7"/>
        <v>-0.26874464656947061</v>
      </c>
      <c r="C42" s="5">
        <f t="shared" ca="1" si="2"/>
        <v>1.5344359179560465</v>
      </c>
      <c r="D42" s="5">
        <f t="shared" ca="1" si="0"/>
        <v>-0.26874464656947061</v>
      </c>
      <c r="E42" s="5">
        <f t="shared" ca="1" si="3"/>
        <v>0.87673747566941518</v>
      </c>
      <c r="F42" s="5">
        <f t="shared" ca="1" si="4"/>
        <v>9.5413612473262468</v>
      </c>
      <c r="G42" s="5">
        <f t="shared" ca="1" si="5"/>
        <v>18.731555657846172</v>
      </c>
      <c r="H42" s="8"/>
      <c r="J42" s="5">
        <f t="shared" si="6"/>
        <v>35</v>
      </c>
      <c r="K42" s="5"/>
    </row>
    <row r="43" spans="1:11" x14ac:dyDescent="0.25">
      <c r="A43" s="3">
        <f t="shared" si="1"/>
        <v>0.65000000000000024</v>
      </c>
      <c r="B43" s="5">
        <f t="shared" ca="1" si="7"/>
        <v>-0.32115067945968001</v>
      </c>
      <c r="C43" s="5">
        <f t="shared" ca="1" si="2"/>
        <v>1.4993318761628927</v>
      </c>
      <c r="D43" s="5">
        <f t="shared" ca="1" si="0"/>
        <v>-0.32115067945968001</v>
      </c>
      <c r="E43" s="5">
        <f t="shared" ca="1" si="3"/>
        <v>0.81569195813830409</v>
      </c>
      <c r="F43" s="5">
        <f t="shared" ca="1" si="4"/>
        <v>9.4437670937997868</v>
      </c>
      <c r="G43" s="5">
        <f t="shared" ca="1" si="5"/>
        <v>18.449470864359913</v>
      </c>
      <c r="H43" s="8"/>
      <c r="J43" s="5">
        <f t="shared" si="6"/>
        <v>36</v>
      </c>
      <c r="K43" s="5"/>
    </row>
    <row r="44" spans="1:11" x14ac:dyDescent="0.25">
      <c r="A44" s="3">
        <f t="shared" si="1"/>
        <v>0.66000000000000025</v>
      </c>
      <c r="B44" s="5">
        <f t="shared" ca="1" si="7"/>
        <v>-0.22596252087444491</v>
      </c>
      <c r="C44" s="5">
        <f t="shared" ca="1" si="2"/>
        <v>1.5038980566485911</v>
      </c>
      <c r="D44" s="5">
        <f t="shared" ca="1" si="0"/>
        <v>-0.22596252087444491</v>
      </c>
      <c r="E44" s="5">
        <f t="shared" ca="1" si="3"/>
        <v>0.88549247997163605</v>
      </c>
      <c r="F44" s="5">
        <f t="shared" ca="1" si="4"/>
        <v>9.6272015724608284</v>
      </c>
      <c r="G44" s="5">
        <f t="shared" ca="1" si="5"/>
        <v>18.775884763524775</v>
      </c>
      <c r="H44" s="8"/>
      <c r="J44" s="5">
        <f t="shared" si="6"/>
        <v>37</v>
      </c>
      <c r="K44" s="5"/>
    </row>
    <row r="45" spans="1:11" x14ac:dyDescent="0.25">
      <c r="A45" s="3">
        <f t="shared" si="1"/>
        <v>0.67000000000000026</v>
      </c>
      <c r="B45" s="5">
        <f t="shared" ca="1" si="7"/>
        <v>-8.4632165784259916E-2</v>
      </c>
      <c r="C45" s="5">
        <f t="shared" ca="1" si="2"/>
        <v>1.6131560548920121</v>
      </c>
      <c r="D45" s="5">
        <f t="shared" ca="1" si="0"/>
        <v>-8.4632165784259916E-2</v>
      </c>
      <c r="E45" s="5">
        <f t="shared" ca="1" si="3"/>
        <v>1.0602459454818105</v>
      </c>
      <c r="F45" s="5">
        <f t="shared" ca="1" si="4"/>
        <v>9.9051879955806026</v>
      </c>
      <c r="G45" s="5">
        <f t="shared" ca="1" si="5"/>
        <v>19.616071161462269</v>
      </c>
      <c r="H45" s="8"/>
      <c r="J45" s="5">
        <f t="shared" si="6"/>
        <v>38</v>
      </c>
      <c r="K45" s="5"/>
    </row>
    <row r="46" spans="1:11" x14ac:dyDescent="0.25">
      <c r="A46" s="3">
        <f t="shared" si="1"/>
        <v>0.68000000000000027</v>
      </c>
      <c r="B46" s="5">
        <f t="shared" ca="1" si="7"/>
        <v>-8.9862381221567644E-3</v>
      </c>
      <c r="C46" s="5">
        <f t="shared" ca="1" si="2"/>
        <v>1.5877266958804301</v>
      </c>
      <c r="D46" s="5">
        <f t="shared" ca="1" si="0"/>
        <v>-8.9862381221567644E-3</v>
      </c>
      <c r="E46" s="5">
        <f t="shared" ca="1" si="3"/>
        <v>1.0955507792546684</v>
      </c>
      <c r="F46" s="5">
        <f t="shared" ca="1" si="4"/>
        <v>10.058196209554149</v>
      </c>
      <c r="G46" s="5">
        <f t="shared" ca="1" si="5"/>
        <v>19.791704710822451</v>
      </c>
      <c r="H46" s="8"/>
      <c r="J46" s="5">
        <f t="shared" si="6"/>
        <v>39</v>
      </c>
      <c r="K46" s="5"/>
    </row>
    <row r="47" spans="1:11" x14ac:dyDescent="0.25">
      <c r="A47" s="3">
        <f t="shared" si="1"/>
        <v>0.69000000000000028</v>
      </c>
      <c r="B47" s="5">
        <f t="shared" ca="1" si="7"/>
        <v>3.3844652271354109E-2</v>
      </c>
      <c r="C47" s="5">
        <f t="shared" ca="1" si="2"/>
        <v>1.5679443497560535</v>
      </c>
      <c r="D47" s="5">
        <f t="shared" ca="1" si="0"/>
        <v>3.3844652271354109E-2</v>
      </c>
      <c r="E47" s="5">
        <f t="shared" ca="1" si="3"/>
        <v>1.1118039674161835</v>
      </c>
      <c r="F47" s="5">
        <f t="shared" ca="1" si="4"/>
        <v>10.146755745891793</v>
      </c>
      <c r="G47" s="5">
        <f t="shared" ca="1" si="5"/>
        <v>19.874026793093215</v>
      </c>
      <c r="H47" s="8"/>
      <c r="J47" s="5">
        <f t="shared" si="6"/>
        <v>40</v>
      </c>
      <c r="K47" s="5"/>
    </row>
    <row r="48" spans="1:11" x14ac:dyDescent="0.25">
      <c r="A48" s="3">
        <f t="shared" si="1"/>
        <v>0.70000000000000029</v>
      </c>
      <c r="B48" s="5">
        <f t="shared" ca="1" si="7"/>
        <v>2.755306882248312E-2</v>
      </c>
      <c r="C48" s="5">
        <f t="shared" ca="1" si="2"/>
        <v>1.3540293949591886</v>
      </c>
      <c r="D48" s="5">
        <f t="shared" ca="1" si="0"/>
        <v>2.755306882248312E-2</v>
      </c>
      <c r="E48" s="5">
        <f t="shared" ca="1" si="3"/>
        <v>0.95894842870312269</v>
      </c>
      <c r="F48" s="5">
        <f t="shared" ca="1" si="4"/>
        <v>10.136022945291614</v>
      </c>
      <c r="G48" s="5">
        <f t="shared" ca="1" si="5"/>
        <v>19.130564818256154</v>
      </c>
      <c r="H48" s="8"/>
      <c r="J48" s="5">
        <f t="shared" si="6"/>
        <v>41</v>
      </c>
      <c r="K48" s="5"/>
    </row>
    <row r="49" spans="1:11" x14ac:dyDescent="0.25">
      <c r="A49" s="3">
        <f t="shared" si="1"/>
        <v>0.7100000000000003</v>
      </c>
      <c r="B49" s="5">
        <f t="shared" ca="1" si="7"/>
        <v>8.8318175464920552E-3</v>
      </c>
      <c r="C49" s="5">
        <f t="shared" ca="1" si="2"/>
        <v>1.2654442830778183</v>
      </c>
      <c r="D49" s="5">
        <f t="shared" ca="1" si="0"/>
        <v>8.8318175464920552E-3</v>
      </c>
      <c r="E49" s="5">
        <f t="shared" ca="1" si="3"/>
        <v>0.88436778280375494</v>
      </c>
      <c r="F49" s="5">
        <f t="shared" ca="1" si="4"/>
        <v>10.100161931125006</v>
      </c>
      <c r="G49" s="5">
        <f t="shared" ca="1" si="5"/>
        <v>18.778820146436246</v>
      </c>
      <c r="H49" s="8"/>
      <c r="J49" s="5">
        <f t="shared" si="6"/>
        <v>42</v>
      </c>
      <c r="K49" s="5"/>
    </row>
    <row r="50" spans="1:11" x14ac:dyDescent="0.25">
      <c r="A50" s="3">
        <f t="shared" si="1"/>
        <v>0.72000000000000031</v>
      </c>
      <c r="B50" s="5">
        <f t="shared" ca="1" si="7"/>
        <v>-5.6518362540735542E-2</v>
      </c>
      <c r="C50" s="5">
        <f t="shared" ca="1" si="2"/>
        <v>1.2010611204351895</v>
      </c>
      <c r="D50" s="5">
        <f t="shared" ca="1" si="0"/>
        <v>-5.6518362540735542E-2</v>
      </c>
      <c r="E50" s="5">
        <f t="shared" ca="1" si="3"/>
        <v>0.79394241178021541</v>
      </c>
      <c r="F50" s="5">
        <f t="shared" ca="1" si="4"/>
        <v>9.9710053907153462</v>
      </c>
      <c r="G50" s="5">
        <f t="shared" ca="1" si="5"/>
        <v>18.360668662352207</v>
      </c>
      <c r="H50" s="8"/>
      <c r="J50" s="5">
        <f t="shared" si="6"/>
        <v>43</v>
      </c>
      <c r="K50" s="5"/>
    </row>
    <row r="51" spans="1:11" x14ac:dyDescent="0.25">
      <c r="A51" s="3">
        <f t="shared" si="1"/>
        <v>0.73000000000000032</v>
      </c>
      <c r="B51" s="5">
        <f t="shared" ca="1" si="7"/>
        <v>-0.11064838467264397</v>
      </c>
      <c r="C51" s="5">
        <f t="shared" ca="1" si="2"/>
        <v>1.1179074422957975</v>
      </c>
      <c r="D51" s="5">
        <f t="shared" ca="1" si="0"/>
        <v>-0.11064838467264397</v>
      </c>
      <c r="E51" s="5">
        <f t="shared" ca="1" si="3"/>
        <v>0.69834490042308472</v>
      </c>
      <c r="F51" s="5">
        <f t="shared" ca="1" si="4"/>
        <v>9.8656143776408882</v>
      </c>
      <c r="G51" s="5">
        <f t="shared" ca="1" si="5"/>
        <v>17.928630892209714</v>
      </c>
      <c r="H51" s="8"/>
      <c r="J51" s="5">
        <f t="shared" si="6"/>
        <v>44</v>
      </c>
      <c r="K51" s="5"/>
    </row>
    <row r="52" spans="1:11" x14ac:dyDescent="0.25">
      <c r="A52" s="3">
        <f t="shared" si="1"/>
        <v>0.74000000000000032</v>
      </c>
      <c r="B52" s="5">
        <f t="shared" ca="1" si="7"/>
        <v>-0.16086759872207745</v>
      </c>
      <c r="C52" s="5">
        <f t="shared" ca="1" si="2"/>
        <v>1.1329243571790439</v>
      </c>
      <c r="D52" s="5">
        <f t="shared" ca="1" si="0"/>
        <v>-0.16086759872207745</v>
      </c>
      <c r="E52" s="5">
        <f t="shared" ca="1" si="3"/>
        <v>0.67361280002247004</v>
      </c>
      <c r="F52" s="5">
        <f t="shared" ca="1" si="4"/>
        <v>9.7689752510398886</v>
      </c>
      <c r="G52" s="5">
        <f t="shared" ca="1" si="5"/>
        <v>17.819678869834771</v>
      </c>
      <c r="H52" s="8"/>
      <c r="J52" s="5">
        <f t="shared" si="6"/>
        <v>45</v>
      </c>
      <c r="K52" s="5"/>
    </row>
    <row r="53" spans="1:11" x14ac:dyDescent="0.25">
      <c r="A53" s="3">
        <f t="shared" si="1"/>
        <v>0.75000000000000033</v>
      </c>
      <c r="B53" s="5">
        <f t="shared" ca="1" si="7"/>
        <v>-0.27905669162095603</v>
      </c>
      <c r="C53" s="5">
        <f t="shared" ca="1" si="2"/>
        <v>1.1022407015875448</v>
      </c>
      <c r="D53" s="5">
        <f t="shared" ca="1" si="0"/>
        <v>-0.27905669162095603</v>
      </c>
      <c r="E53" s="5">
        <f t="shared" ca="1" si="3"/>
        <v>0.56958677385731027</v>
      </c>
      <c r="F53" s="5">
        <f t="shared" ca="1" si="4"/>
        <v>9.5426741429826158</v>
      </c>
      <c r="G53" s="5">
        <f t="shared" ca="1" si="5"/>
        <v>17.363744701228079</v>
      </c>
      <c r="H53" s="8"/>
      <c r="J53" s="5">
        <f t="shared" si="6"/>
        <v>46</v>
      </c>
      <c r="K53" s="5"/>
    </row>
    <row r="54" spans="1:11" x14ac:dyDescent="0.25">
      <c r="A54" s="3">
        <f t="shared" si="1"/>
        <v>0.76000000000000034</v>
      </c>
      <c r="B54" s="5">
        <f t="shared" ca="1" si="7"/>
        <v>-0.23794200050744341</v>
      </c>
      <c r="C54" s="5">
        <f t="shared" ca="1" si="2"/>
        <v>1.2092145115742732</v>
      </c>
      <c r="D54" s="5">
        <f t="shared" ca="1" si="0"/>
        <v>-0.23794200050744341</v>
      </c>
      <c r="E54" s="5">
        <f t="shared" ca="1" si="3"/>
        <v>0.67260410717885222</v>
      </c>
      <c r="F54" s="5">
        <f t="shared" ca="1" si="4"/>
        <v>9.623390956927091</v>
      </c>
      <c r="G54" s="5">
        <f t="shared" ca="1" si="5"/>
        <v>17.818303721062104</v>
      </c>
      <c r="H54" s="8"/>
      <c r="J54" s="5">
        <f t="shared" si="6"/>
        <v>47</v>
      </c>
      <c r="K54" s="5"/>
    </row>
    <row r="55" spans="1:11" x14ac:dyDescent="0.25">
      <c r="A55" s="3">
        <f t="shared" si="1"/>
        <v>0.77000000000000035</v>
      </c>
      <c r="B55" s="5">
        <f t="shared" ca="1" si="7"/>
        <v>-0.3549961453964956</v>
      </c>
      <c r="C55" s="5">
        <f t="shared" ca="1" si="2"/>
        <v>1.3122112320892321</v>
      </c>
      <c r="D55" s="5">
        <f t="shared" ca="1" si="0"/>
        <v>-0.3549961453964956</v>
      </c>
      <c r="E55" s="5">
        <f t="shared" ca="1" si="3"/>
        <v>0.66214325835929511</v>
      </c>
      <c r="F55" s="5">
        <f t="shared" ca="1" si="4"/>
        <v>9.4025964001180409</v>
      </c>
      <c r="G55" s="5">
        <f t="shared" ca="1" si="5"/>
        <v>17.773321052846434</v>
      </c>
      <c r="H55" s="8"/>
      <c r="J55" s="5">
        <f t="shared" si="6"/>
        <v>48</v>
      </c>
      <c r="K55" s="5"/>
    </row>
    <row r="56" spans="1:11" x14ac:dyDescent="0.25">
      <c r="A56" s="3">
        <f t="shared" si="1"/>
        <v>0.78000000000000036</v>
      </c>
      <c r="B56" s="5">
        <f t="shared" ca="1" si="7"/>
        <v>-0.45287144258740558</v>
      </c>
      <c r="C56" s="5">
        <f t="shared" ca="1" si="2"/>
        <v>1.1870771981060046</v>
      </c>
      <c r="D56" s="5">
        <f t="shared" ca="1" si="0"/>
        <v>-0.45287144258740558</v>
      </c>
      <c r="E56" s="5">
        <f t="shared" ca="1" si="3"/>
        <v>0.50679077635326164</v>
      </c>
      <c r="F56" s="5">
        <f t="shared" ca="1" si="4"/>
        <v>9.222174027164094</v>
      </c>
      <c r="G56" s="5">
        <f t="shared" ca="1" si="5"/>
        <v>17.097767427515471</v>
      </c>
      <c r="H56" s="8"/>
      <c r="J56" s="5">
        <f t="shared" si="6"/>
        <v>49</v>
      </c>
      <c r="K56" s="5"/>
    </row>
    <row r="57" spans="1:11" x14ac:dyDescent="0.25">
      <c r="A57" s="3">
        <f t="shared" si="1"/>
        <v>0.79000000000000037</v>
      </c>
      <c r="B57" s="5">
        <f t="shared" ca="1" si="7"/>
        <v>-0.5250737702900945</v>
      </c>
      <c r="C57" s="5">
        <f t="shared" ca="1" si="2"/>
        <v>1.172141853793504</v>
      </c>
      <c r="D57" s="5">
        <f t="shared" ca="1" si="0"/>
        <v>-0.5250737702900945</v>
      </c>
      <c r="E57" s="5">
        <f t="shared" ca="1" si="3"/>
        <v>0.4458844053877854</v>
      </c>
      <c r="F57" s="5">
        <f t="shared" ca="1" si="4"/>
        <v>9.0917766390862482</v>
      </c>
      <c r="G57" s="5">
        <f t="shared" ca="1" si="5"/>
        <v>16.840872227400709</v>
      </c>
      <c r="H57" s="8"/>
      <c r="J57" s="5">
        <f t="shared" si="6"/>
        <v>50</v>
      </c>
      <c r="K57" s="5"/>
    </row>
    <row r="58" spans="1:11" x14ac:dyDescent="0.25">
      <c r="A58" s="3">
        <f t="shared" si="1"/>
        <v>0.80000000000000038</v>
      </c>
      <c r="B58" s="5">
        <f t="shared" ca="1" si="7"/>
        <v>-0.33148631601992429</v>
      </c>
      <c r="C58" s="5">
        <f t="shared" ca="1" si="2"/>
        <v>1.2117739148425526</v>
      </c>
      <c r="D58" s="5">
        <f t="shared" ca="1" si="0"/>
        <v>-0.33148631601992429</v>
      </c>
      <c r="E58" s="5">
        <f t="shared" ca="1" si="3"/>
        <v>0.60889924580484378</v>
      </c>
      <c r="F58" s="5">
        <f t="shared" ca="1" si="4"/>
        <v>9.4525810366970706</v>
      </c>
      <c r="G58" s="5">
        <f t="shared" ca="1" si="5"/>
        <v>17.542912330942666</v>
      </c>
      <c r="H58" s="8"/>
      <c r="J58" s="5">
        <f t="shared" si="6"/>
        <v>51</v>
      </c>
      <c r="K58" s="5"/>
    </row>
    <row r="59" spans="1:11" x14ac:dyDescent="0.25">
      <c r="A59" s="3">
        <f t="shared" si="1"/>
        <v>0.81000000000000039</v>
      </c>
      <c r="B59" s="5">
        <f t="shared" ca="1" si="7"/>
        <v>-0.39493144935294544</v>
      </c>
      <c r="C59" s="5">
        <f t="shared" ca="1" si="2"/>
        <v>1.1086114324987077</v>
      </c>
      <c r="D59" s="5">
        <f t="shared" ca="1" si="0"/>
        <v>-0.39493144935294544</v>
      </c>
      <c r="E59" s="5">
        <f t="shared" ca="1" si="3"/>
        <v>0.4928955654590812</v>
      </c>
      <c r="F59" s="5">
        <f t="shared" ca="1" si="4"/>
        <v>9.335261627587597</v>
      </c>
      <c r="G59" s="5">
        <f t="shared" ca="1" si="5"/>
        <v>17.042949386180755</v>
      </c>
      <c r="H59" s="8"/>
      <c r="J59" s="5">
        <f t="shared" si="6"/>
        <v>52</v>
      </c>
      <c r="K59" s="5"/>
    </row>
    <row r="60" spans="1:11" x14ac:dyDescent="0.25">
      <c r="A60" s="3">
        <f t="shared" si="1"/>
        <v>0.8200000000000004</v>
      </c>
      <c r="B60" s="5">
        <f t="shared" ca="1" si="7"/>
        <v>-0.44282145816881313</v>
      </c>
      <c r="C60" s="5">
        <f t="shared" ca="1" si="2"/>
        <v>1.069120978909968</v>
      </c>
      <c r="D60" s="5">
        <f t="shared" ca="1" si="0"/>
        <v>-0.44282145816881313</v>
      </c>
      <c r="E60" s="5">
        <f t="shared" ca="1" si="3"/>
        <v>0.43196720876460437</v>
      </c>
      <c r="F60" s="5">
        <f t="shared" ca="1" si="4"/>
        <v>9.2481247510924653</v>
      </c>
      <c r="G60" s="5">
        <f t="shared" ca="1" si="5"/>
        <v>16.786785563444038</v>
      </c>
      <c r="H60" s="8"/>
      <c r="J60" s="5">
        <f t="shared" si="6"/>
        <v>53</v>
      </c>
      <c r="K60" s="5"/>
    </row>
    <row r="61" spans="1:11" x14ac:dyDescent="0.25">
      <c r="A61" s="3">
        <f t="shared" si="1"/>
        <v>0.8300000000000004</v>
      </c>
      <c r="B61" s="5">
        <f t="shared" ca="1" si="7"/>
        <v>-0.47173337637307916</v>
      </c>
      <c r="C61" s="5">
        <f t="shared" ca="1" si="2"/>
        <v>1.0435129206072862</v>
      </c>
      <c r="D61" s="5">
        <f t="shared" ca="1" si="0"/>
        <v>-0.47173337637307916</v>
      </c>
      <c r="E61" s="5">
        <f t="shared" ca="1" si="3"/>
        <v>0.39395753775791886</v>
      </c>
      <c r="F61" s="5">
        <f t="shared" ca="1" si="4"/>
        <v>9.1966420026959845</v>
      </c>
      <c r="G61" s="5">
        <f t="shared" ca="1" si="5"/>
        <v>16.629481024659917</v>
      </c>
      <c r="H61" s="8"/>
      <c r="J61" s="5">
        <f t="shared" si="6"/>
        <v>54</v>
      </c>
      <c r="K61" s="5"/>
    </row>
    <row r="62" spans="1:11" x14ac:dyDescent="0.25">
      <c r="A62" s="3">
        <f t="shared" si="1"/>
        <v>0.84000000000000041</v>
      </c>
      <c r="B62" s="5">
        <f t="shared" ca="1" si="7"/>
        <v>-0.4702261709599081</v>
      </c>
      <c r="C62" s="5">
        <f t="shared" ca="1" si="2"/>
        <v>1.0656678629989957</v>
      </c>
      <c r="D62" s="5">
        <f t="shared" ca="1" si="0"/>
        <v>-0.4702261709599081</v>
      </c>
      <c r="E62" s="5">
        <f t="shared" ca="1" si="3"/>
        <v>0.41038753693238095</v>
      </c>
      <c r="F62" s="5">
        <f t="shared" ca="1" si="4"/>
        <v>9.2012547332280565</v>
      </c>
      <c r="G62" s="5">
        <f t="shared" ca="1" si="5"/>
        <v>16.699388221946386</v>
      </c>
      <c r="H62" s="8"/>
      <c r="J62" s="5">
        <f t="shared" si="6"/>
        <v>55</v>
      </c>
      <c r="K62" s="5"/>
    </row>
    <row r="63" spans="1:11" x14ac:dyDescent="0.25">
      <c r="A63" s="3">
        <f t="shared" si="1"/>
        <v>0.85000000000000042</v>
      </c>
      <c r="B63" s="5">
        <f t="shared" ca="1" si="7"/>
        <v>-0.54498725122402614</v>
      </c>
      <c r="C63" s="5">
        <f t="shared" ca="1" si="2"/>
        <v>1.1197325220366674</v>
      </c>
      <c r="D63" s="5">
        <f t="shared" ca="1" si="0"/>
        <v>-0.54498725122402614</v>
      </c>
      <c r="E63" s="5">
        <f t="shared" ca="1" si="3"/>
        <v>0.39557425184003414</v>
      </c>
      <c r="F63" s="5">
        <f t="shared" ca="1" si="4"/>
        <v>9.066512154896202</v>
      </c>
      <c r="G63" s="5">
        <f t="shared" ca="1" si="5"/>
        <v>16.639115252576566</v>
      </c>
      <c r="H63" s="8"/>
      <c r="J63" s="5">
        <f t="shared" si="6"/>
        <v>56</v>
      </c>
      <c r="K63" s="5"/>
    </row>
    <row r="64" spans="1:11" x14ac:dyDescent="0.25">
      <c r="A64" s="3">
        <f t="shared" si="1"/>
        <v>0.86000000000000043</v>
      </c>
      <c r="B64" s="5">
        <f t="shared" ca="1" si="7"/>
        <v>-0.51543191979653435</v>
      </c>
      <c r="C64" s="5">
        <f t="shared" ca="1" si="2"/>
        <v>1.1973871934632734</v>
      </c>
      <c r="D64" s="5">
        <f t="shared" ca="1" si="0"/>
        <v>-0.51543191979653435</v>
      </c>
      <c r="E64" s="5">
        <f t="shared" ca="1" si="3"/>
        <v>0.47015331167359931</v>
      </c>
      <c r="F64" s="5">
        <f t="shared" ca="1" si="4"/>
        <v>9.1220878520810285</v>
      </c>
      <c r="G64" s="5">
        <f t="shared" ca="1" si="5"/>
        <v>16.953741196357697</v>
      </c>
      <c r="H64" s="8"/>
      <c r="J64" s="5">
        <f t="shared" si="6"/>
        <v>57</v>
      </c>
      <c r="K64" s="5"/>
    </row>
    <row r="65" spans="1:11" x14ac:dyDescent="0.25">
      <c r="A65" s="3">
        <f t="shared" si="1"/>
        <v>0.87000000000000044</v>
      </c>
      <c r="B65" s="5">
        <f t="shared" ca="1" si="7"/>
        <v>-0.59470475268534839</v>
      </c>
      <c r="C65" s="5">
        <f t="shared" ca="1" si="2"/>
        <v>1.18060076701782</v>
      </c>
      <c r="D65" s="5">
        <f t="shared" ca="1" si="0"/>
        <v>-0.59470475268534839</v>
      </c>
      <c r="E65" s="5">
        <f t="shared" ca="1" si="3"/>
        <v>0.40301298408923925</v>
      </c>
      <c r="F65" s="5">
        <f t="shared" ca="1" si="4"/>
        <v>8.9803974648788145</v>
      </c>
      <c r="G65" s="5">
        <f t="shared" ca="1" si="5"/>
        <v>16.673005044353523</v>
      </c>
      <c r="H65" s="8"/>
      <c r="J65" s="5">
        <f t="shared" si="6"/>
        <v>58</v>
      </c>
      <c r="K65" s="5"/>
    </row>
    <row r="66" spans="1:11" x14ac:dyDescent="0.25">
      <c r="A66" s="3">
        <f t="shared" si="1"/>
        <v>0.88000000000000045</v>
      </c>
      <c r="B66" s="5">
        <f t="shared" ca="1" si="7"/>
        <v>-0.51103057356080861</v>
      </c>
      <c r="C66" s="5">
        <f t="shared" ca="1" si="2"/>
        <v>1.3824961048849269</v>
      </c>
      <c r="D66" s="5">
        <f t="shared" ca="1" si="0"/>
        <v>-0.51103057356080861</v>
      </c>
      <c r="E66" s="5">
        <f t="shared" ca="1" si="3"/>
        <v>0.60169503737983154</v>
      </c>
      <c r="F66" s="5">
        <f t="shared" ca="1" si="4"/>
        <v>9.1337740597777426</v>
      </c>
      <c r="G66" s="5">
        <f t="shared" ca="1" si="5"/>
        <v>17.52360730024354</v>
      </c>
      <c r="H66" s="8"/>
      <c r="J66" s="5">
        <f t="shared" si="6"/>
        <v>59</v>
      </c>
      <c r="K66" s="5"/>
    </row>
    <row r="67" spans="1:11" x14ac:dyDescent="0.25">
      <c r="A67" s="3">
        <f t="shared" si="1"/>
        <v>0.89000000000000046</v>
      </c>
      <c r="B67" s="5">
        <f t="shared" ca="1" si="7"/>
        <v>-0.55087570275607856</v>
      </c>
      <c r="C67" s="5">
        <f t="shared" ca="1" si="2"/>
        <v>1.2494425676626135</v>
      </c>
      <c r="D67" s="5">
        <f t="shared" ca="1" si="0"/>
        <v>-0.55087570275607856</v>
      </c>
      <c r="E67" s="5">
        <f t="shared" ca="1" si="3"/>
        <v>0.48146774313164192</v>
      </c>
      <c r="F67" s="5">
        <f t="shared" ca="1" si="4"/>
        <v>9.0630884677297718</v>
      </c>
      <c r="G67" s="5">
        <f t="shared" ca="1" si="5"/>
        <v>17.006228118679346</v>
      </c>
      <c r="H67" s="8"/>
      <c r="J67" s="5">
        <f t="shared" si="6"/>
        <v>60</v>
      </c>
      <c r="K67" s="5"/>
    </row>
    <row r="68" spans="1:11" x14ac:dyDescent="0.25">
      <c r="A68" s="3">
        <f t="shared" si="1"/>
        <v>0.90000000000000047</v>
      </c>
      <c r="B68" s="5">
        <f t="shared" ca="1" si="7"/>
        <v>-0.48819560754292596</v>
      </c>
      <c r="C68" s="5">
        <f t="shared" ca="1" si="2"/>
        <v>1.1538470799348537</v>
      </c>
      <c r="D68" s="5">
        <f t="shared" ca="1" si="0"/>
        <v>-0.48819560754292596</v>
      </c>
      <c r="E68" s="5">
        <f t="shared" ca="1" si="3"/>
        <v>0.4590030207659882</v>
      </c>
      <c r="F68" s="5">
        <f t="shared" ca="1" si="4"/>
        <v>9.1792543099988873</v>
      </c>
      <c r="G68" s="5">
        <f t="shared" ca="1" si="5"/>
        <v>16.912465545835989</v>
      </c>
      <c r="H68" s="8"/>
      <c r="J68" s="5">
        <f t="shared" si="6"/>
        <v>61</v>
      </c>
      <c r="K68" s="5"/>
    </row>
    <row r="69" spans="1:11" x14ac:dyDescent="0.25">
      <c r="A69" s="3">
        <f t="shared" si="1"/>
        <v>0.91000000000000048</v>
      </c>
      <c r="B69" s="5">
        <f t="shared" ca="1" si="7"/>
        <v>-0.53115029264521674</v>
      </c>
      <c r="C69" s="5">
        <f t="shared" ca="1" si="2"/>
        <v>1.2627970812483171</v>
      </c>
      <c r="D69" s="5">
        <f t="shared" ca="1" si="0"/>
        <v>-0.53115029264521674</v>
      </c>
      <c r="E69" s="5">
        <f t="shared" ca="1" si="3"/>
        <v>0.50454321626058141</v>
      </c>
      <c r="F69" s="5">
        <f t="shared" ca="1" si="4"/>
        <v>9.1025540089114347</v>
      </c>
      <c r="G69" s="5">
        <f t="shared" ca="1" si="5"/>
        <v>17.107611906046486</v>
      </c>
      <c r="H69" s="8"/>
      <c r="J69" s="5">
        <f t="shared" si="6"/>
        <v>62</v>
      </c>
      <c r="K69" s="5"/>
    </row>
    <row r="70" spans="1:11" x14ac:dyDescent="0.25">
      <c r="A70" s="3">
        <f t="shared" si="1"/>
        <v>0.92000000000000048</v>
      </c>
      <c r="B70" s="5">
        <f t="shared" ca="1" si="7"/>
        <v>-0.40553770982384751</v>
      </c>
      <c r="C70" s="5">
        <f t="shared" ca="1" si="2"/>
        <v>1.2330925505812509</v>
      </c>
      <c r="D70" s="5">
        <f t="shared" ca="1" si="0"/>
        <v>-0.40553770982384751</v>
      </c>
      <c r="E70" s="5">
        <f t="shared" ca="1" si="3"/>
        <v>0.57185785040150594</v>
      </c>
      <c r="F70" s="5">
        <f t="shared" ca="1" si="4"/>
        <v>9.3359967888368711</v>
      </c>
      <c r="G70" s="5">
        <f t="shared" ca="1" si="5"/>
        <v>17.399468568304268</v>
      </c>
      <c r="H70" s="8"/>
      <c r="J70" s="5">
        <f t="shared" si="6"/>
        <v>63</v>
      </c>
      <c r="K70" s="5"/>
    </row>
    <row r="71" spans="1:11" x14ac:dyDescent="0.25">
      <c r="A71" s="3">
        <f t="shared" si="1"/>
        <v>0.93000000000000049</v>
      </c>
      <c r="B71" s="5">
        <f t="shared" ca="1" si="7"/>
        <v>-0.41263851271589391</v>
      </c>
      <c r="C71" s="5">
        <f t="shared" ca="1" si="2"/>
        <v>1.2993029676326886</v>
      </c>
      <c r="D71" s="5">
        <f t="shared" ca="1" si="0"/>
        <v>-0.41263851271589391</v>
      </c>
      <c r="E71" s="5">
        <f t="shared" ca="1" si="3"/>
        <v>0.61283560050561592</v>
      </c>
      <c r="F71" s="5">
        <f t="shared" ca="1" si="4"/>
        <v>9.3246123204471694</v>
      </c>
      <c r="G71" s="5">
        <f t="shared" ca="1" si="5"/>
        <v>17.580170684549017</v>
      </c>
      <c r="H71" s="8"/>
      <c r="J71" s="5">
        <f t="shared" si="6"/>
        <v>64</v>
      </c>
      <c r="K71" s="5"/>
    </row>
    <row r="72" spans="1:11" x14ac:dyDescent="0.25">
      <c r="A72" s="3">
        <f t="shared" si="1"/>
        <v>0.9400000000000005</v>
      </c>
      <c r="B72" s="5">
        <f t="shared" ca="1" si="7"/>
        <v>-0.31303699788895589</v>
      </c>
      <c r="C72" s="5">
        <f t="shared" ca="1" si="2"/>
        <v>1.4366348699839591</v>
      </c>
      <c r="D72" s="5">
        <f t="shared" ca="1" si="0"/>
        <v>-0.31303699788895589</v>
      </c>
      <c r="E72" s="5">
        <f t="shared" ca="1" si="3"/>
        <v>0.77786143912715322</v>
      </c>
      <c r="F72" s="5">
        <f t="shared" ca="1" si="4"/>
        <v>9.5141264933351408</v>
      </c>
      <c r="G72" s="5">
        <f t="shared" ca="1" si="5"/>
        <v>18.322238870802472</v>
      </c>
      <c r="H72" s="8"/>
      <c r="J72" s="5">
        <f t="shared" si="6"/>
        <v>65</v>
      </c>
      <c r="K72" s="5"/>
    </row>
    <row r="73" spans="1:11" x14ac:dyDescent="0.25">
      <c r="A73" s="3">
        <f t="shared" si="1"/>
        <v>0.95000000000000051</v>
      </c>
      <c r="B73" s="5">
        <f t="shared" ca="1" si="7"/>
        <v>-0.41902573674217669</v>
      </c>
      <c r="C73" s="5">
        <f t="shared" ca="1" si="2"/>
        <v>1.234922207376786</v>
      </c>
      <c r="D73" s="5">
        <f t="shared" ref="D73:D78" ca="1" si="8">B73</f>
        <v>-0.41902573674217669</v>
      </c>
      <c r="E73" s="5">
        <f t="shared" ca="1" si="3"/>
        <v>0.56368596591881481</v>
      </c>
      <c r="F73" s="5">
        <f t="shared" ca="1" si="4"/>
        <v>9.3164340763091893</v>
      </c>
      <c r="G73" s="5">
        <f t="shared" ca="1" si="5"/>
        <v>17.368516879474001</v>
      </c>
      <c r="H73" s="8"/>
      <c r="J73" s="5">
        <f t="shared" si="6"/>
        <v>66</v>
      </c>
      <c r="K73" s="5"/>
    </row>
    <row r="74" spans="1:11" x14ac:dyDescent="0.25">
      <c r="A74" s="3">
        <f t="shared" ref="A74:A78" si="9">+A73+0.01</f>
        <v>0.96000000000000052</v>
      </c>
      <c r="B74" s="5">
        <f t="shared" ca="1" si="7"/>
        <v>-0.39280543883110697</v>
      </c>
      <c r="C74" s="5">
        <f t="shared" ca="1" si="7"/>
        <v>1.2033739853473604</v>
      </c>
      <c r="D74" s="5">
        <f t="shared" ca="1" si="8"/>
        <v>-0.39280543883110697</v>
      </c>
      <c r="E74" s="5">
        <f t="shared" ref="E74:E78" ca="1" si="10">0.7*B74+SQRT(1-0.72^2)*C74</f>
        <v>0.56014652663703024</v>
      </c>
      <c r="F74" s="5">
        <f t="shared" ref="F74:F78" ca="1" si="11">$F$8*EXP((0.04-0.5*0.2^2)*(A74-$A$8)+0.2*D74)</f>
        <v>9.367291608623793</v>
      </c>
      <c r="G74" s="5">
        <f t="shared" ref="G74:G78" ca="1" si="12">$G$8*EXP((0.04-0.5*0.25^2)*(A74-$A$8)+0.25*E74)</f>
        <v>17.354673441807506</v>
      </c>
      <c r="H74" s="8"/>
      <c r="J74" s="5">
        <f t="shared" ref="J74:J107" si="13">J73+1</f>
        <v>67</v>
      </c>
      <c r="K74" s="5"/>
    </row>
    <row r="75" spans="1:11" x14ac:dyDescent="0.25">
      <c r="A75" s="3">
        <f t="shared" si="9"/>
        <v>0.97000000000000053</v>
      </c>
      <c r="B75" s="5">
        <f t="shared" ref="B75:C78" ca="1" si="14">B74+_xlfn.NORM.INV(RAND(),0,SQRT(0.01))</f>
        <v>-0.34691820871673384</v>
      </c>
      <c r="C75" s="5">
        <f t="shared" ca="1" si="14"/>
        <v>1.1066434926847535</v>
      </c>
      <c r="D75" s="5">
        <f t="shared" ca="1" si="8"/>
        <v>-0.34691820871673384</v>
      </c>
      <c r="E75" s="5">
        <f t="shared" ca="1" si="10"/>
        <v>0.52513913471616558</v>
      </c>
      <c r="F75" s="5">
        <f t="shared" ca="1" si="11"/>
        <v>9.4555460338876713</v>
      </c>
      <c r="G75" s="5">
        <f t="shared" ca="1" si="12"/>
        <v>17.204956050430887</v>
      </c>
      <c r="H75" s="8"/>
      <c r="J75" s="5">
        <f t="shared" si="13"/>
        <v>68</v>
      </c>
      <c r="K75" s="5"/>
    </row>
    <row r="76" spans="1:11" x14ac:dyDescent="0.25">
      <c r="A76" s="3">
        <f t="shared" si="9"/>
        <v>0.98000000000000054</v>
      </c>
      <c r="B76" s="5">
        <f t="shared" ca="1" si="14"/>
        <v>-0.38252730469372548</v>
      </c>
      <c r="C76" s="5">
        <f t="shared" ca="1" si="14"/>
        <v>1.2744503842128125</v>
      </c>
      <c r="D76" s="5">
        <f t="shared" ca="1" si="8"/>
        <v>-0.38252730469372548</v>
      </c>
      <c r="E76" s="5">
        <f t="shared" ca="1" si="10"/>
        <v>0.61666639783128607</v>
      </c>
      <c r="F76" s="5">
        <f t="shared" ca="1" si="11"/>
        <v>9.3903224471980611</v>
      </c>
      <c r="G76" s="5">
        <f t="shared" ca="1" si="12"/>
        <v>17.604715645509302</v>
      </c>
      <c r="H76" s="8"/>
      <c r="J76" s="5">
        <f t="shared" si="13"/>
        <v>69</v>
      </c>
      <c r="K76" s="5"/>
    </row>
    <row r="77" spans="1:11" x14ac:dyDescent="0.25">
      <c r="A77" s="3">
        <f t="shared" si="9"/>
        <v>0.99000000000000055</v>
      </c>
      <c r="B77" s="5">
        <f t="shared" ca="1" si="14"/>
        <v>-0.47370784593552212</v>
      </c>
      <c r="C77" s="5">
        <f t="shared" ca="1" si="14"/>
        <v>1.3631091119532253</v>
      </c>
      <c r="D77" s="5">
        <f t="shared" ca="1" si="8"/>
        <v>-0.47370784593552212</v>
      </c>
      <c r="E77" s="5">
        <f t="shared" ca="1" si="10"/>
        <v>0.61436687646499721</v>
      </c>
      <c r="F77" s="5">
        <f t="shared" ca="1" si="11"/>
        <v>9.2224757754593529</v>
      </c>
      <c r="G77" s="5">
        <f t="shared" ca="1" si="12"/>
        <v>17.596137543753596</v>
      </c>
      <c r="H77" s="8"/>
      <c r="J77" s="5">
        <f t="shared" si="13"/>
        <v>70</v>
      </c>
      <c r="K77" s="5"/>
    </row>
    <row r="78" spans="1:11" x14ac:dyDescent="0.25">
      <c r="A78" s="3">
        <f t="shared" si="9"/>
        <v>1.0000000000000004</v>
      </c>
      <c r="B78" s="5">
        <f t="shared" ca="1" si="14"/>
        <v>-0.46094415811139888</v>
      </c>
      <c r="C78" s="5">
        <f t="shared" ca="1" si="14"/>
        <v>1.4841524403043649</v>
      </c>
      <c r="D78" s="5">
        <f t="shared" ca="1" si="8"/>
        <v>-0.46094415811139888</v>
      </c>
      <c r="E78" s="5">
        <f t="shared" ca="1" si="10"/>
        <v>0.70730238830658698</v>
      </c>
      <c r="F78" s="5">
        <f t="shared" ca="1" si="11"/>
        <v>9.2478978050019087</v>
      </c>
      <c r="G78" s="5">
        <f t="shared" ca="1" si="12"/>
        <v>18.011326287060388</v>
      </c>
      <c r="H78" s="8"/>
      <c r="J78" s="5">
        <f t="shared" si="13"/>
        <v>71</v>
      </c>
      <c r="K78" s="5"/>
    </row>
    <row r="79" spans="1:11" x14ac:dyDescent="0.25">
      <c r="J79" s="5">
        <f t="shared" si="13"/>
        <v>72</v>
      </c>
      <c r="K79" s="5"/>
    </row>
    <row r="80" spans="1:11" x14ac:dyDescent="0.25">
      <c r="J80" s="5">
        <f t="shared" si="13"/>
        <v>73</v>
      </c>
      <c r="K80" s="5"/>
    </row>
    <row r="81" spans="10:11" x14ac:dyDescent="0.25">
      <c r="J81" s="5">
        <f t="shared" si="13"/>
        <v>74</v>
      </c>
      <c r="K81" s="5"/>
    </row>
    <row r="82" spans="10:11" x14ac:dyDescent="0.25">
      <c r="J82" s="5">
        <f t="shared" si="13"/>
        <v>75</v>
      </c>
      <c r="K82" s="5"/>
    </row>
    <row r="83" spans="10:11" x14ac:dyDescent="0.25">
      <c r="J83" s="5">
        <f t="shared" si="13"/>
        <v>76</v>
      </c>
      <c r="K83" s="5"/>
    </row>
    <row r="84" spans="10:11" x14ac:dyDescent="0.25">
      <c r="J84" s="5">
        <f t="shared" si="13"/>
        <v>77</v>
      </c>
      <c r="K84" s="5"/>
    </row>
    <row r="85" spans="10:11" x14ac:dyDescent="0.25">
      <c r="J85" s="5">
        <f t="shared" si="13"/>
        <v>78</v>
      </c>
      <c r="K85" s="5"/>
    </row>
    <row r="86" spans="10:11" x14ac:dyDescent="0.25">
      <c r="J86" s="5">
        <f t="shared" si="13"/>
        <v>79</v>
      </c>
      <c r="K86" s="5"/>
    </row>
    <row r="87" spans="10:11" x14ac:dyDescent="0.25">
      <c r="J87" s="5">
        <f t="shared" si="13"/>
        <v>80</v>
      </c>
      <c r="K87" s="5"/>
    </row>
    <row r="88" spans="10:11" x14ac:dyDescent="0.25">
      <c r="J88" s="5">
        <f t="shared" si="13"/>
        <v>81</v>
      </c>
      <c r="K88" s="5"/>
    </row>
    <row r="89" spans="10:11" x14ac:dyDescent="0.25">
      <c r="J89" s="5">
        <f t="shared" si="13"/>
        <v>82</v>
      </c>
      <c r="K89" s="5"/>
    </row>
    <row r="90" spans="10:11" x14ac:dyDescent="0.25">
      <c r="J90" s="5">
        <f t="shared" si="13"/>
        <v>83</v>
      </c>
      <c r="K90" s="5"/>
    </row>
    <row r="91" spans="10:11" x14ac:dyDescent="0.25">
      <c r="J91" s="5">
        <f t="shared" si="13"/>
        <v>84</v>
      </c>
      <c r="K91" s="5"/>
    </row>
    <row r="92" spans="10:11" x14ac:dyDescent="0.25">
      <c r="J92" s="5">
        <f t="shared" si="13"/>
        <v>85</v>
      </c>
      <c r="K92" s="5"/>
    </row>
    <row r="93" spans="10:11" x14ac:dyDescent="0.25">
      <c r="J93" s="5">
        <f t="shared" si="13"/>
        <v>86</v>
      </c>
      <c r="K93" s="5"/>
    </row>
    <row r="94" spans="10:11" x14ac:dyDescent="0.25">
      <c r="J94" s="5">
        <f t="shared" si="13"/>
        <v>87</v>
      </c>
      <c r="K94" s="5"/>
    </row>
    <row r="95" spans="10:11" x14ac:dyDescent="0.25">
      <c r="J95" s="5">
        <f t="shared" si="13"/>
        <v>88</v>
      </c>
      <c r="K95" s="5"/>
    </row>
    <row r="96" spans="10:11" x14ac:dyDescent="0.25">
      <c r="J96" s="5">
        <f t="shared" si="13"/>
        <v>89</v>
      </c>
      <c r="K96" s="5"/>
    </row>
    <row r="97" spans="10:11" x14ac:dyDescent="0.25">
      <c r="J97" s="5">
        <f t="shared" si="13"/>
        <v>90</v>
      </c>
      <c r="K97" s="5"/>
    </row>
    <row r="98" spans="10:11" x14ac:dyDescent="0.25">
      <c r="J98" s="5">
        <f t="shared" si="13"/>
        <v>91</v>
      </c>
      <c r="K98" s="5"/>
    </row>
    <row r="99" spans="10:11" x14ac:dyDescent="0.25">
      <c r="J99" s="5">
        <f t="shared" si="13"/>
        <v>92</v>
      </c>
      <c r="K99" s="5"/>
    </row>
    <row r="100" spans="10:11" x14ac:dyDescent="0.25">
      <c r="J100" s="5">
        <f t="shared" si="13"/>
        <v>93</v>
      </c>
      <c r="K100" s="5"/>
    </row>
    <row r="101" spans="10:11" x14ac:dyDescent="0.25">
      <c r="J101" s="5">
        <f t="shared" si="13"/>
        <v>94</v>
      </c>
      <c r="K101" s="5"/>
    </row>
    <row r="102" spans="10:11" x14ac:dyDescent="0.25">
      <c r="J102" s="5">
        <f t="shared" si="13"/>
        <v>95</v>
      </c>
      <c r="K102" s="5"/>
    </row>
    <row r="103" spans="10:11" x14ac:dyDescent="0.25">
      <c r="J103" s="5">
        <f t="shared" si="13"/>
        <v>96</v>
      </c>
      <c r="K103" s="5"/>
    </row>
    <row r="104" spans="10:11" x14ac:dyDescent="0.25">
      <c r="J104" s="5">
        <f t="shared" si="13"/>
        <v>97</v>
      </c>
      <c r="K104" s="5"/>
    </row>
    <row r="105" spans="10:11" x14ac:dyDescent="0.25">
      <c r="J105" s="5">
        <f t="shared" si="13"/>
        <v>98</v>
      </c>
      <c r="K105" s="5"/>
    </row>
    <row r="106" spans="10:11" x14ac:dyDescent="0.25">
      <c r="J106" s="5">
        <f t="shared" si="13"/>
        <v>99</v>
      </c>
      <c r="K106" s="5"/>
    </row>
    <row r="107" spans="10:11" x14ac:dyDescent="0.25">
      <c r="J107" s="5">
        <f t="shared" si="13"/>
        <v>100</v>
      </c>
      <c r="K107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ntSim">
                <anchor moveWithCells="1" sizeWithCells="1">
                  <from>
                    <xdr:col>11</xdr:col>
                    <xdr:colOff>495300</xdr:colOff>
                    <xdr:row>9</xdr:row>
                    <xdr:rowOff>19050</xdr:rowOff>
                  </from>
                  <to>
                    <xdr:col>13</xdr:col>
                    <xdr:colOff>333375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igSim">
                <anchor moveWithCells="1" sizeWithCells="1">
                  <from>
                    <xdr:col>11</xdr:col>
                    <xdr:colOff>447675</xdr:colOff>
                    <xdr:row>27</xdr:row>
                    <xdr:rowOff>85725</xdr:rowOff>
                  </from>
                  <to>
                    <xdr:col>13</xdr:col>
                    <xdr:colOff>476250</xdr:colOff>
                    <xdr:row>29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1 simulacion</vt:lpstr>
      <vt:lpstr>100 simulaciones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Augusto Prieto</dc:creator>
  <cp:lastModifiedBy>Augusto Prieto</cp:lastModifiedBy>
  <dcterms:created xsi:type="dcterms:W3CDTF">2020-07-29T21:04:17Z</dcterms:created>
  <dcterms:modified xsi:type="dcterms:W3CDTF">2020-07-30T19:05:02Z</dcterms:modified>
</cp:coreProperties>
</file>